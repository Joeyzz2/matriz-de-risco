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 de estudo Joey\documentos\"/>
    </mc:Choice>
  </mc:AlternateContent>
  <xr:revisionPtr revIDLastSave="0" documentId="13_ncr:1_{1A6ECC4F-50F3-409A-AB67-2B18411748DB}" xr6:coauthVersionLast="46" xr6:coauthVersionMax="46" xr10:uidLastSave="{00000000-0000-0000-0000-000000000000}"/>
  <bookViews>
    <workbookView xWindow="-120" yWindow="-120" windowWidth="29040" windowHeight="15840" activeTab="2" xr2:uid="{2FC76FD9-22DC-48C8-BE79-68164B32A1B5}"/>
  </bookViews>
  <sheets>
    <sheet name="MATRIZ DE RISCO" sheetId="1" r:id="rId1"/>
    <sheet name="MATRIZ DE PRIORIZAÇÃO" sheetId="3" r:id="rId2"/>
    <sheet name="GUT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G5" i="4"/>
  <c r="G6" i="4"/>
  <c r="G4" i="4"/>
</calcChain>
</file>

<file path=xl/sharedStrings.xml><?xml version="1.0" encoding="utf-8"?>
<sst xmlns="http://schemas.openxmlformats.org/spreadsheetml/2006/main" count="99" uniqueCount="78">
  <si>
    <t>ID</t>
  </si>
  <si>
    <t>RISCO</t>
  </si>
  <si>
    <t xml:space="preserve"> </t>
  </si>
  <si>
    <t>PROBABILIDADE</t>
  </si>
  <si>
    <r>
      <t xml:space="preserve">  </t>
    </r>
    <r>
      <rPr>
        <b/>
        <sz val="14"/>
        <color theme="0"/>
        <rFont val="Arial"/>
        <family val="2"/>
      </rPr>
      <t>DANO</t>
    </r>
  </si>
  <si>
    <t xml:space="preserve"> FREQUÊNCIA</t>
  </si>
  <si>
    <t xml:space="preserve"> IMPACTO</t>
  </si>
  <si>
    <t>REGRAS DE CRITICIDADE</t>
  </si>
  <si>
    <t>DANO</t>
  </si>
  <si>
    <t>MUITO BAIXO</t>
  </si>
  <si>
    <t xml:space="preserve"> BAIXA</t>
  </si>
  <si>
    <t xml:space="preserve">   MÉDIO</t>
  </si>
  <si>
    <r>
      <t xml:space="preserve">   </t>
    </r>
    <r>
      <rPr>
        <sz val="14"/>
        <color theme="1"/>
        <rFont val="Arial"/>
        <family val="2"/>
      </rPr>
      <t>ALTO</t>
    </r>
  </si>
  <si>
    <t>MUITO  ALTO</t>
  </si>
  <si>
    <t>PROBABILIDADE DE ACONTECER</t>
  </si>
  <si>
    <t>ANO</t>
  </si>
  <si>
    <t>BAIXO</t>
  </si>
  <si>
    <t>MEDIO</t>
  </si>
  <si>
    <t>ALTO</t>
  </si>
  <si>
    <t>MUITO ALTO</t>
  </si>
  <si>
    <t>Tratamento</t>
  </si>
  <si>
    <t>Minigar</t>
  </si>
  <si>
    <t>Anular</t>
  </si>
  <si>
    <t>Transferir</t>
  </si>
  <si>
    <t>Aceitar</t>
  </si>
  <si>
    <t>MÉDIO</t>
  </si>
  <si>
    <t>IMPACTO</t>
  </si>
  <si>
    <t>FALHA DE SEGURANÇA</t>
  </si>
  <si>
    <t>ROUBO DE DADOS</t>
  </si>
  <si>
    <t xml:space="preserve"> VAZAMENTOS DE DADOS</t>
  </si>
  <si>
    <t>ERROS DE CHAVES NA TRANSFERÊNCIA</t>
  </si>
  <si>
    <t>QR CODES SUSPEITOS</t>
  </si>
  <si>
    <t>FALHA NA CRIPTOGRAFIA</t>
  </si>
  <si>
    <t>ROUBO DE IDENTIDADE DO BANCO</t>
  </si>
  <si>
    <t>FALHA NA PROGRAMAÇÃO</t>
  </si>
  <si>
    <t>GOLPE</t>
  </si>
  <si>
    <t>LINK SUSPEITOS</t>
  </si>
  <si>
    <t>FALHA NA MONITORAÇÃO</t>
  </si>
  <si>
    <t>FALHA NO CONTROLE</t>
  </si>
  <si>
    <t>IMPREVISTOS</t>
  </si>
  <si>
    <t>IMPACTO BANCÁRIO</t>
  </si>
  <si>
    <t>FALHA NA SEGURANÇA BANCÁRIA</t>
  </si>
  <si>
    <t>INSTABILIDADE</t>
  </si>
  <si>
    <t>FALHA NO SERVIÇO</t>
  </si>
  <si>
    <t>FALHA NA CONEXÃO</t>
  </si>
  <si>
    <t>OSCILAÇÃO DE SERVIÇO</t>
  </si>
  <si>
    <t>ROUBO DE DINHEIRO</t>
  </si>
  <si>
    <t>Os riscos possuem danos poucos significativos.</t>
  </si>
  <si>
    <t>medio prazo com custos pouco significativos.</t>
  </si>
  <si>
    <t xml:space="preserve">   Os riscos possuem danos reversiveis em curto e </t>
  </si>
  <si>
    <t xml:space="preserve">                     Os riscos possuem danos reversiveis em curto e</t>
  </si>
  <si>
    <t xml:space="preserve">       Os riscos possuem danos reversiveis em curto e medio prazo,</t>
  </si>
  <si>
    <t xml:space="preserve">                               porém com custos altos.</t>
  </si>
  <si>
    <t xml:space="preserve">  Os riscos possuem danos irreversíveis ou com custos </t>
  </si>
  <si>
    <t>economicamente inviáveis.</t>
  </si>
  <si>
    <t>Nunca aconteceu</t>
  </si>
  <si>
    <t>Ocorre pelo menos 1 vez ao ano</t>
  </si>
  <si>
    <t xml:space="preserve">Ocorre mais de 1 por ano e menor do que 1 vez por mês (Pode acontecer, assim como não pode acontecer) </t>
  </si>
  <si>
    <t>Ocorre mensalmente</t>
  </si>
  <si>
    <t>Ocorre semanalmente</t>
  </si>
  <si>
    <t>FREQUENCIA DE RISCO</t>
  </si>
  <si>
    <t xml:space="preserve">                                 medio prazo com custos baixos.</t>
  </si>
  <si>
    <t>G</t>
  </si>
  <si>
    <t>U</t>
  </si>
  <si>
    <t>T</t>
  </si>
  <si>
    <t>RESULTADO</t>
  </si>
  <si>
    <t>RISCO DO USO DO PIX</t>
  </si>
  <si>
    <t>FRAUDE</t>
  </si>
  <si>
    <t>SONEGAÇÃO DE IMPOSTO EM CIMA DE PIX</t>
  </si>
  <si>
    <t>ENVIO DE VALOR INDAQUEDADO</t>
  </si>
  <si>
    <t>GOLPE CIBERNETICO</t>
  </si>
  <si>
    <t>FÁCIL ACESSO AOS DADOS</t>
  </si>
  <si>
    <t>TRANSFERÊNCIA SEM TRANSPARÊNCIA</t>
  </si>
  <si>
    <t>TRANSFERÊNCIA EM DOBRO POR ACIDENTE</t>
  </si>
  <si>
    <t>FALSO BUG NO PIX</t>
  </si>
  <si>
    <t xml:space="preserve">CLONAGEM </t>
  </si>
  <si>
    <t xml:space="preserve">CLONAGEM DE NÚMERO </t>
  </si>
  <si>
    <t>ERRO NA TRANSFERÊNCIA DO DINHEIRO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</si>
</sst>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14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sz val="18"/>
      <color theme="0"/>
      <name val="Arial"/>
      <family val="2"/>
    </font>
    <font>
      <b/>
      <sz val="26"/>
      <color theme="0"/>
      <name val="Arial"/>
      <family val="2"/>
    </font>
    <font>
      <sz val="11"/>
      <color rgb="FF9C5700"/>
      <name val="Calibri"/>
      <family val="2"/>
      <scheme val="minor"/>
    </font>
    <font>
      <sz val="16"/>
      <color theme="1"/>
      <name val="Arial"/>
      <family val="2"/>
    </font>
    <font>
      <b/>
      <sz val="18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11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11" borderId="0" applyNumberFormat="0" applyBorder="0" applyAlignment="0" applyProtection="0"/>
  </cellStyleXfs>
  <cellXfs count="203">
    <xf numFmtId="0" fontId="0" fillId="0" borderId="0" xfId="0"/>
    <xf numFmtId="0" fontId="4" fillId="0" borderId="0" xfId="0" applyFont="1" applyAlignment="1"/>
    <xf numFmtId="0" fontId="7" fillId="2" borderId="4" xfId="0" applyFont="1" applyFill="1" applyBorder="1" applyAlignment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9" fillId="2" borderId="4" xfId="0" applyFont="1" applyFill="1" applyBorder="1"/>
    <xf numFmtId="0" fontId="9" fillId="2" borderId="0" xfId="0" applyFont="1" applyFill="1"/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4" borderId="6" xfId="0" applyFill="1" applyBorder="1"/>
    <xf numFmtId="0" fontId="0" fillId="4" borderId="2" xfId="0" applyFill="1" applyBorder="1"/>
    <xf numFmtId="0" fontId="0" fillId="4" borderId="3" xfId="0" applyFill="1" applyBorder="1"/>
    <xf numFmtId="0" fontId="3" fillId="4" borderId="4" xfId="0" applyFont="1" applyFill="1" applyBorder="1" applyAlignment="1">
      <alignment horizontal="center"/>
    </xf>
    <xf numFmtId="0" fontId="0" fillId="5" borderId="2" xfId="0" applyFill="1" applyBorder="1"/>
    <xf numFmtId="0" fontId="8" fillId="5" borderId="7" xfId="0" applyFont="1" applyFill="1" applyBorder="1" applyAlignment="1">
      <alignment horizontal="center"/>
    </xf>
    <xf numFmtId="0" fontId="0" fillId="5" borderId="3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2" xfId="0" applyFill="1" applyBorder="1"/>
    <xf numFmtId="0" fontId="0" fillId="7" borderId="7" xfId="0" applyFill="1" applyBorder="1"/>
    <xf numFmtId="0" fontId="0" fillId="7" borderId="3" xfId="0" applyFill="1" applyBorder="1"/>
    <xf numFmtId="0" fontId="5" fillId="6" borderId="7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0" fillId="8" borderId="2" xfId="0" applyFill="1" applyBorder="1"/>
    <xf numFmtId="0" fontId="0" fillId="8" borderId="7" xfId="0" applyFill="1" applyBorder="1"/>
    <xf numFmtId="0" fontId="0" fillId="8" borderId="3" xfId="0" applyFill="1" applyBorder="1"/>
    <xf numFmtId="0" fontId="8" fillId="8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Fill="1" applyBorder="1" applyAlignment="1"/>
    <xf numFmtId="0" fontId="11" fillId="3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9" fillId="8" borderId="7" xfId="0" applyFont="1" applyFill="1" applyBorder="1"/>
    <xf numFmtId="0" fontId="8" fillId="8" borderId="7" xfId="0" applyFont="1" applyFill="1" applyBorder="1"/>
    <xf numFmtId="0" fontId="1" fillId="8" borderId="3" xfId="0" applyFont="1" applyFill="1" applyBorder="1"/>
    <xf numFmtId="0" fontId="1" fillId="8" borderId="2" xfId="0" applyFont="1" applyFill="1" applyBorder="1"/>
    <xf numFmtId="0" fontId="1" fillId="8" borderId="7" xfId="0" applyFont="1" applyFill="1" applyBorder="1"/>
    <xf numFmtId="0" fontId="8" fillId="8" borderId="3" xfId="0" applyFont="1" applyFill="1" applyBorder="1"/>
    <xf numFmtId="0" fontId="8" fillId="1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/>
    <xf numFmtId="0" fontId="0" fillId="0" borderId="12" xfId="0" applyBorder="1" applyAlignment="1"/>
    <xf numFmtId="0" fontId="0" fillId="0" borderId="13" xfId="0" applyBorder="1" applyAlignment="1"/>
    <xf numFmtId="0" fontId="14" fillId="10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/>
    <xf numFmtId="0" fontId="15" fillId="2" borderId="5" xfId="0" applyFont="1" applyFill="1" applyBorder="1"/>
    <xf numFmtId="0" fontId="15" fillId="2" borderId="6" xfId="0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0" borderId="0" xfId="0" applyFont="1"/>
    <xf numFmtId="0" fontId="0" fillId="13" borderId="2" xfId="0" applyFill="1" applyBorder="1"/>
    <xf numFmtId="0" fontId="0" fillId="13" borderId="3" xfId="0" applyFill="1" applyBorder="1"/>
    <xf numFmtId="0" fontId="0" fillId="9" borderId="2" xfId="0" applyFill="1" applyBorder="1"/>
    <xf numFmtId="0" fontId="0" fillId="9" borderId="3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8" borderId="2" xfId="0" applyFill="1" applyBorder="1"/>
    <xf numFmtId="0" fontId="0" fillId="18" borderId="3" xfId="0" applyFill="1" applyBorder="1"/>
    <xf numFmtId="0" fontId="0" fillId="14" borderId="3" xfId="0" applyFill="1" applyBorder="1"/>
    <xf numFmtId="0" fontId="17" fillId="2" borderId="5" xfId="0" applyFont="1" applyFill="1" applyBorder="1"/>
    <xf numFmtId="0" fontId="18" fillId="2" borderId="4" xfId="0" applyFont="1" applyFill="1" applyBorder="1"/>
    <xf numFmtId="0" fontId="17" fillId="2" borderId="6" xfId="0" applyFont="1" applyFill="1" applyBorder="1"/>
    <xf numFmtId="0" fontId="16" fillId="2" borderId="5" xfId="0" applyFont="1" applyFill="1" applyBorder="1"/>
    <xf numFmtId="0" fontId="16" fillId="2" borderId="6" xfId="0" applyFont="1" applyFill="1" applyBorder="1"/>
    <xf numFmtId="0" fontId="0" fillId="14" borderId="7" xfId="0" applyFill="1" applyBorder="1"/>
    <xf numFmtId="0" fontId="3" fillId="14" borderId="7" xfId="0" applyFont="1" applyFill="1" applyBorder="1" applyAlignment="1">
      <alignment horizontal="center"/>
    </xf>
    <xf numFmtId="0" fontId="0" fillId="18" borderId="7" xfId="0" applyFill="1" applyBorder="1"/>
    <xf numFmtId="0" fontId="3" fillId="18" borderId="7" xfId="0" applyFont="1" applyFill="1" applyBorder="1" applyAlignment="1">
      <alignment horizontal="center"/>
    </xf>
    <xf numFmtId="0" fontId="0" fillId="13" borderId="7" xfId="0" applyFill="1" applyBorder="1"/>
    <xf numFmtId="0" fontId="3" fillId="13" borderId="7" xfId="0" applyFont="1" applyFill="1" applyBorder="1" applyAlignment="1">
      <alignment horizontal="center"/>
    </xf>
    <xf numFmtId="0" fontId="0" fillId="12" borderId="7" xfId="0" applyFill="1" applyBorder="1"/>
    <xf numFmtId="0" fontId="0" fillId="12" borderId="7" xfId="0" applyFill="1" applyBorder="1" applyAlignment="1">
      <alignment horizontal="center"/>
    </xf>
    <xf numFmtId="0" fontId="0" fillId="9" borderId="7" xfId="0" applyFill="1" applyBorder="1"/>
    <xf numFmtId="0" fontId="3" fillId="9" borderId="7" xfId="0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18" borderId="2" xfId="0" applyFont="1" applyFill="1" applyBorder="1"/>
    <xf numFmtId="0" fontId="4" fillId="18" borderId="7" xfId="0" applyFont="1" applyFill="1" applyBorder="1" applyAlignment="1">
      <alignment horizontal="center"/>
    </xf>
    <xf numFmtId="0" fontId="4" fillId="13" borderId="7" xfId="0" applyFont="1" applyFill="1" applyBorder="1"/>
    <xf numFmtId="0" fontId="4" fillId="12" borderId="7" xfId="0" applyFont="1" applyFill="1" applyBorder="1"/>
    <xf numFmtId="0" fontId="4" fillId="9" borderId="7" xfId="0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/>
    </xf>
    <xf numFmtId="9" fontId="2" fillId="14" borderId="1" xfId="0" applyNumberFormat="1" applyFont="1" applyFill="1" applyBorder="1" applyAlignment="1">
      <alignment horizontal="center"/>
    </xf>
    <xf numFmtId="9" fontId="2" fillId="18" borderId="1" xfId="0" applyNumberFormat="1" applyFont="1" applyFill="1" applyBorder="1" applyAlignment="1">
      <alignment horizontal="center"/>
    </xf>
    <xf numFmtId="9" fontId="2" fillId="13" borderId="1" xfId="0" applyNumberFormat="1" applyFont="1" applyFill="1" applyBorder="1" applyAlignment="1">
      <alignment horizontal="center"/>
    </xf>
    <xf numFmtId="9" fontId="2" fillId="12" borderId="1" xfId="0" applyNumberFormat="1" applyFont="1" applyFill="1" applyBorder="1" applyAlignment="1">
      <alignment horizontal="center"/>
    </xf>
    <xf numFmtId="9" fontId="2" fillId="9" borderId="1" xfId="0" applyNumberFormat="1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9" fillId="12" borderId="7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9" fillId="18" borderId="7" xfId="0" applyFont="1" applyFill="1" applyBorder="1" applyAlignment="1">
      <alignment horizontal="center"/>
    </xf>
    <xf numFmtId="0" fontId="0" fillId="20" borderId="5" xfId="0" applyFill="1" applyBorder="1"/>
    <xf numFmtId="0" fontId="9" fillId="20" borderId="4" xfId="0" applyFont="1" applyFill="1" applyBorder="1" applyAlignment="1">
      <alignment horizontal="center"/>
    </xf>
    <xf numFmtId="0" fontId="0" fillId="20" borderId="6" xfId="0" applyFill="1" applyBorder="1"/>
    <xf numFmtId="0" fontId="0" fillId="14" borderId="2" xfId="0" applyFill="1" applyBorder="1"/>
    <xf numFmtId="0" fontId="9" fillId="14" borderId="7" xfId="0" applyFont="1" applyFill="1" applyBorder="1" applyAlignment="1">
      <alignment horizontal="center"/>
    </xf>
    <xf numFmtId="0" fontId="0" fillId="18" borderId="5" xfId="0" applyFill="1" applyBorder="1"/>
    <xf numFmtId="0" fontId="9" fillId="18" borderId="4" xfId="0" applyFont="1" applyFill="1" applyBorder="1" applyAlignment="1">
      <alignment horizontal="center"/>
    </xf>
    <xf numFmtId="0" fontId="0" fillId="18" borderId="6" xfId="0" applyFill="1" applyBorder="1"/>
    <xf numFmtId="0" fontId="0" fillId="13" borderId="5" xfId="0" applyFill="1" applyBorder="1"/>
    <xf numFmtId="0" fontId="9" fillId="13" borderId="4" xfId="0" applyFont="1" applyFill="1" applyBorder="1" applyAlignment="1">
      <alignment horizontal="center"/>
    </xf>
    <xf numFmtId="0" fontId="0" fillId="13" borderId="6" xfId="0" applyFill="1" applyBorder="1"/>
    <xf numFmtId="0" fontId="0" fillId="20" borderId="2" xfId="0" applyFill="1" applyBorder="1"/>
    <xf numFmtId="0" fontId="9" fillId="20" borderId="7" xfId="0" applyFont="1" applyFill="1" applyBorder="1" applyAlignment="1">
      <alignment horizontal="center"/>
    </xf>
    <xf numFmtId="0" fontId="0" fillId="20" borderId="3" xfId="0" applyFill="1" applyBorder="1"/>
    <xf numFmtId="0" fontId="17" fillId="9" borderId="2" xfId="0" applyFont="1" applyFill="1" applyBorder="1"/>
    <xf numFmtId="0" fontId="18" fillId="9" borderId="7" xfId="0" applyFont="1" applyFill="1" applyBorder="1" applyAlignment="1">
      <alignment horizontal="center"/>
    </xf>
    <xf numFmtId="0" fontId="17" fillId="9" borderId="3" xfId="0" applyFont="1" applyFill="1" applyBorder="1"/>
    <xf numFmtId="0" fontId="0" fillId="14" borderId="5" xfId="0" applyFill="1" applyBorder="1"/>
    <xf numFmtId="0" fontId="9" fillId="14" borderId="4" xfId="0" applyFont="1" applyFill="1" applyBorder="1" applyAlignment="1">
      <alignment horizontal="center"/>
    </xf>
    <xf numFmtId="0" fontId="9" fillId="14" borderId="6" xfId="0" applyFont="1" applyFill="1" applyBorder="1"/>
    <xf numFmtId="0" fontId="9" fillId="14" borderId="2" xfId="0" applyFont="1" applyFill="1" applyBorder="1"/>
    <xf numFmtId="0" fontId="20" fillId="18" borderId="7" xfId="0" applyFont="1" applyFill="1" applyBorder="1" applyAlignment="1">
      <alignment horizontal="center"/>
    </xf>
    <xf numFmtId="0" fontId="19" fillId="1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5" xfId="0" applyFont="1" applyFill="1" applyBorder="1" applyAlignment="1"/>
    <xf numFmtId="0" fontId="9" fillId="2" borderId="4" xfId="0" applyFont="1" applyFill="1" applyBorder="1" applyAlignment="1"/>
    <xf numFmtId="0" fontId="9" fillId="2" borderId="6" xfId="0" applyFont="1" applyFill="1" applyBorder="1" applyAlignment="1"/>
    <xf numFmtId="0" fontId="9" fillId="2" borderId="5" xfId="0" applyFont="1" applyFill="1" applyBorder="1" applyAlignment="1"/>
    <xf numFmtId="0" fontId="0" fillId="4" borderId="7" xfId="0" applyFill="1" applyBorder="1"/>
    <xf numFmtId="0" fontId="3" fillId="2" borderId="5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13" borderId="6" xfId="0" applyFont="1" applyFill="1" applyBorder="1"/>
    <xf numFmtId="0" fontId="3" fillId="18" borderId="6" xfId="0" applyFont="1" applyFill="1" applyBorder="1"/>
    <xf numFmtId="0" fontId="9" fillId="20" borderId="2" xfId="0" applyFont="1" applyFill="1" applyBorder="1"/>
    <xf numFmtId="0" fontId="9" fillId="20" borderId="3" xfId="0" applyFont="1" applyFill="1" applyBorder="1"/>
    <xf numFmtId="0" fontId="9" fillId="13" borderId="2" xfId="0" applyFont="1" applyFill="1" applyBorder="1"/>
    <xf numFmtId="0" fontId="9" fillId="13" borderId="3" xfId="0" applyFont="1" applyFill="1" applyBorder="1"/>
    <xf numFmtId="0" fontId="9" fillId="14" borderId="3" xfId="0" applyFont="1" applyFill="1" applyBorder="1"/>
    <xf numFmtId="0" fontId="9" fillId="13" borderId="7" xfId="0" applyFont="1" applyFill="1" applyBorder="1"/>
    <xf numFmtId="0" fontId="9" fillId="18" borderId="7" xfId="0" applyFont="1" applyFill="1" applyBorder="1"/>
    <xf numFmtId="0" fontId="9" fillId="18" borderId="3" xfId="0" applyFont="1" applyFill="1" applyBorder="1"/>
    <xf numFmtId="0" fontId="9" fillId="20" borderId="5" xfId="0" applyFont="1" applyFill="1" applyBorder="1"/>
    <xf numFmtId="0" fontId="9" fillId="20" borderId="6" xfId="0" applyFont="1" applyFill="1" applyBorder="1"/>
    <xf numFmtId="0" fontId="9" fillId="18" borderId="5" xfId="0" applyFont="1" applyFill="1" applyBorder="1"/>
    <xf numFmtId="0" fontId="9" fillId="18" borderId="6" xfId="0" applyFont="1" applyFill="1" applyBorder="1"/>
    <xf numFmtId="0" fontId="9" fillId="14" borderId="5" xfId="0" applyFont="1" applyFill="1" applyBorder="1"/>
    <xf numFmtId="0" fontId="9" fillId="13" borderId="5" xfId="0" applyFont="1" applyFill="1" applyBorder="1"/>
    <xf numFmtId="0" fontId="9" fillId="13" borderId="6" xfId="0" applyFont="1" applyFill="1" applyBorder="1"/>
    <xf numFmtId="0" fontId="18" fillId="18" borderId="5" xfId="0" applyFont="1" applyFill="1" applyBorder="1"/>
    <xf numFmtId="0" fontId="18" fillId="18" borderId="4" xfId="0" applyFont="1" applyFill="1" applyBorder="1" applyAlignment="1">
      <alignment horizontal="center"/>
    </xf>
    <xf numFmtId="0" fontId="18" fillId="18" borderId="6" xfId="0" applyFont="1" applyFill="1" applyBorder="1"/>
    <xf numFmtId="0" fontId="21" fillId="2" borderId="4" xfId="0" applyFont="1" applyFill="1" applyBorder="1"/>
    <xf numFmtId="0" fontId="8" fillId="1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3" fillId="16" borderId="3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2" fillId="15" borderId="9" xfId="1" applyFill="1" applyBorder="1" applyAlignment="1">
      <alignment horizontal="center"/>
    </xf>
    <xf numFmtId="0" fontId="12" fillId="15" borderId="10" xfId="1" applyFill="1" applyBorder="1" applyAlignment="1">
      <alignment horizontal="center"/>
    </xf>
    <xf numFmtId="0" fontId="12" fillId="15" borderId="11" xfId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18" borderId="1" xfId="0" applyFont="1" applyFill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B31111"/>
      <color rgb="FFF4CABE"/>
      <color rgb="FF6F00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28575</xdr:rowOff>
    </xdr:from>
    <xdr:to>
      <xdr:col>7</xdr:col>
      <xdr:colOff>19050</xdr:colOff>
      <xdr:row>16</xdr:row>
      <xdr:rowOff>57150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A73529DF-F367-4BDB-A862-C9404F2429CD}"/>
            </a:ext>
          </a:extLst>
        </xdr:cNvPr>
        <xdr:cNvCxnSpPr/>
      </xdr:nvCxnSpPr>
      <xdr:spPr>
        <a:xfrm flipV="1">
          <a:off x="4267200" y="28575"/>
          <a:ext cx="19050" cy="474345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16</xdr:row>
      <xdr:rowOff>19050</xdr:rowOff>
    </xdr:from>
    <xdr:to>
      <xdr:col>28</xdr:col>
      <xdr:colOff>152400</xdr:colOff>
      <xdr:row>16</xdr:row>
      <xdr:rowOff>38100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DE655F12-21FB-416C-872A-1D7068AE1E60}"/>
            </a:ext>
          </a:extLst>
        </xdr:cNvPr>
        <xdr:cNvCxnSpPr/>
      </xdr:nvCxnSpPr>
      <xdr:spPr>
        <a:xfrm flipV="1">
          <a:off x="4276725" y="5105400"/>
          <a:ext cx="13830300" cy="19050"/>
        </a:xfrm>
        <a:prstGeom prst="straightConnector1">
          <a:avLst/>
        </a:prstGeom>
        <a:ln w="38100"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</xdr:colOff>
      <xdr:row>10</xdr:row>
      <xdr:rowOff>9525</xdr:rowOff>
    </xdr:from>
    <xdr:to>
      <xdr:col>20</xdr:col>
      <xdr:colOff>447675</xdr:colOff>
      <xdr:row>10</xdr:row>
      <xdr:rowOff>428625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7878D4BA-FC0A-4B84-B544-679B90A0E500}"/>
            </a:ext>
          </a:extLst>
        </xdr:cNvPr>
        <xdr:cNvSpPr/>
      </xdr:nvSpPr>
      <xdr:spPr>
        <a:xfrm>
          <a:off x="12220575" y="2981325"/>
          <a:ext cx="4191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23</xdr:col>
      <xdr:colOff>9525</xdr:colOff>
      <xdr:row>10</xdr:row>
      <xdr:rowOff>9525</xdr:rowOff>
    </xdr:from>
    <xdr:to>
      <xdr:col>23</xdr:col>
      <xdr:colOff>428625</xdr:colOff>
      <xdr:row>10</xdr:row>
      <xdr:rowOff>409575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66E11B96-F2AD-410D-BECC-EA3D504D8BD9}"/>
            </a:ext>
          </a:extLst>
        </xdr:cNvPr>
        <xdr:cNvSpPr/>
      </xdr:nvSpPr>
      <xdr:spPr>
        <a:xfrm>
          <a:off x="15373350" y="2981325"/>
          <a:ext cx="419100" cy="4000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20</xdr:col>
      <xdr:colOff>47624</xdr:colOff>
      <xdr:row>11</xdr:row>
      <xdr:rowOff>19050</xdr:rowOff>
    </xdr:from>
    <xdr:to>
      <xdr:col>20</xdr:col>
      <xdr:colOff>495300</xdr:colOff>
      <xdr:row>11</xdr:row>
      <xdr:rowOff>409575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D6059A00-9A70-4828-950D-62FEDAA8B508}"/>
            </a:ext>
          </a:extLst>
        </xdr:cNvPr>
        <xdr:cNvSpPr/>
      </xdr:nvSpPr>
      <xdr:spPr>
        <a:xfrm>
          <a:off x="13220699" y="3429000"/>
          <a:ext cx="447676" cy="3905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14</xdr:col>
      <xdr:colOff>9525</xdr:colOff>
      <xdr:row>12</xdr:row>
      <xdr:rowOff>0</xdr:rowOff>
    </xdr:from>
    <xdr:to>
      <xdr:col>14</xdr:col>
      <xdr:colOff>428625</xdr:colOff>
      <xdr:row>12</xdr:row>
      <xdr:rowOff>419100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2C9A085-3FAE-401F-BC3A-A6641B7C6426}"/>
            </a:ext>
          </a:extLst>
        </xdr:cNvPr>
        <xdr:cNvSpPr/>
      </xdr:nvSpPr>
      <xdr:spPr>
        <a:xfrm>
          <a:off x="8543925" y="3876675"/>
          <a:ext cx="4191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17</xdr:col>
      <xdr:colOff>142875</xdr:colOff>
      <xdr:row>8</xdr:row>
      <xdr:rowOff>57149</xdr:rowOff>
    </xdr:from>
    <xdr:to>
      <xdr:col>18</xdr:col>
      <xdr:colOff>19050</xdr:colOff>
      <xdr:row>8</xdr:row>
      <xdr:rowOff>485774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1FB3163-06D8-43CB-B01C-2929D27F6421}"/>
            </a:ext>
          </a:extLst>
        </xdr:cNvPr>
        <xdr:cNvSpPr/>
      </xdr:nvSpPr>
      <xdr:spPr>
        <a:xfrm>
          <a:off x="11268075" y="2057399"/>
          <a:ext cx="48577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18</xdr:col>
      <xdr:colOff>85725</xdr:colOff>
      <xdr:row>8</xdr:row>
      <xdr:rowOff>66675</xdr:rowOff>
    </xdr:from>
    <xdr:to>
      <xdr:col>18</xdr:col>
      <xdr:colOff>504825</xdr:colOff>
      <xdr:row>8</xdr:row>
      <xdr:rowOff>485775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6CB0D102-B633-440C-BDE6-43DC578B2C27}"/>
            </a:ext>
          </a:extLst>
        </xdr:cNvPr>
        <xdr:cNvSpPr/>
      </xdr:nvSpPr>
      <xdr:spPr>
        <a:xfrm>
          <a:off x="11820525" y="2066925"/>
          <a:ext cx="4191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20</xdr:col>
      <xdr:colOff>9525</xdr:colOff>
      <xdr:row>8</xdr:row>
      <xdr:rowOff>47625</xdr:rowOff>
    </xdr:from>
    <xdr:to>
      <xdr:col>20</xdr:col>
      <xdr:colOff>428625</xdr:colOff>
      <xdr:row>8</xdr:row>
      <xdr:rowOff>466725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72D0738-5FD5-4029-B1D9-6F5385E2B5C8}"/>
            </a:ext>
          </a:extLst>
        </xdr:cNvPr>
        <xdr:cNvSpPr/>
      </xdr:nvSpPr>
      <xdr:spPr>
        <a:xfrm>
          <a:off x="12201525" y="2047875"/>
          <a:ext cx="4191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xdr:txBody>
    </xdr:sp>
    <xdr:clientData/>
  </xdr:twoCellAnchor>
  <xdr:twoCellAnchor>
    <xdr:from>
      <xdr:col>20</xdr:col>
      <xdr:colOff>457200</xdr:colOff>
      <xdr:row>10</xdr:row>
      <xdr:rowOff>9525</xdr:rowOff>
    </xdr:from>
    <xdr:to>
      <xdr:col>21</xdr:col>
      <xdr:colOff>266700</xdr:colOff>
      <xdr:row>10</xdr:row>
      <xdr:rowOff>428625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C1A505B6-5CFD-4265-A3EA-1833CAB00BE7}"/>
            </a:ext>
          </a:extLst>
        </xdr:cNvPr>
        <xdr:cNvSpPr/>
      </xdr:nvSpPr>
      <xdr:spPr>
        <a:xfrm>
          <a:off x="12649200" y="2981325"/>
          <a:ext cx="4191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xdr:txBody>
    </xdr:sp>
    <xdr:clientData/>
  </xdr:twoCellAnchor>
  <xdr:twoCellAnchor>
    <xdr:from>
      <xdr:col>14</xdr:col>
      <xdr:colOff>438150</xdr:colOff>
      <xdr:row>12</xdr:row>
      <xdr:rowOff>0</xdr:rowOff>
    </xdr:from>
    <xdr:to>
      <xdr:col>15</xdr:col>
      <xdr:colOff>247650</xdr:colOff>
      <xdr:row>12</xdr:row>
      <xdr:rowOff>419100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16E74D70-B659-4D49-9E86-47BA4C9B5DD8}"/>
            </a:ext>
          </a:extLst>
        </xdr:cNvPr>
        <xdr:cNvSpPr/>
      </xdr:nvSpPr>
      <xdr:spPr>
        <a:xfrm>
          <a:off x="8972550" y="3876675"/>
          <a:ext cx="4191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9</a:t>
          </a:r>
        </a:p>
      </xdr:txBody>
    </xdr:sp>
    <xdr:clientData/>
  </xdr:twoCellAnchor>
  <xdr:twoCellAnchor>
    <xdr:from>
      <xdr:col>15</xdr:col>
      <xdr:colOff>219074</xdr:colOff>
      <xdr:row>12</xdr:row>
      <xdr:rowOff>0</xdr:rowOff>
    </xdr:from>
    <xdr:to>
      <xdr:col>16</xdr:col>
      <xdr:colOff>114300</xdr:colOff>
      <xdr:row>12</xdr:row>
      <xdr:rowOff>419100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7F728103-167A-4B43-964D-F4289DD5DAA2}"/>
            </a:ext>
          </a:extLst>
        </xdr:cNvPr>
        <xdr:cNvSpPr/>
      </xdr:nvSpPr>
      <xdr:spPr>
        <a:xfrm>
          <a:off x="9363074" y="3876675"/>
          <a:ext cx="504826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</a:p>
      </xdr:txBody>
    </xdr:sp>
    <xdr:clientData/>
  </xdr:twoCellAnchor>
  <xdr:twoCellAnchor>
    <xdr:from>
      <xdr:col>23</xdr:col>
      <xdr:colOff>428624</xdr:colOff>
      <xdr:row>10</xdr:row>
      <xdr:rowOff>9525</xdr:rowOff>
    </xdr:from>
    <xdr:to>
      <xdr:col>24</xdr:col>
      <xdr:colOff>323849</xdr:colOff>
      <xdr:row>10</xdr:row>
      <xdr:rowOff>428625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96E57C92-ED65-4BFE-BA72-BB2713FE56DC}"/>
            </a:ext>
          </a:extLst>
        </xdr:cNvPr>
        <xdr:cNvSpPr/>
      </xdr:nvSpPr>
      <xdr:spPr>
        <a:xfrm>
          <a:off x="14449424" y="2981325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11</a:t>
          </a:r>
        </a:p>
      </xdr:txBody>
    </xdr:sp>
    <xdr:clientData/>
  </xdr:twoCellAnchor>
  <xdr:twoCellAnchor>
    <xdr:from>
      <xdr:col>10</xdr:col>
      <xdr:colOff>600075</xdr:colOff>
      <xdr:row>12</xdr:row>
      <xdr:rowOff>9525</xdr:rowOff>
    </xdr:from>
    <xdr:to>
      <xdr:col>11</xdr:col>
      <xdr:colOff>476251</xdr:colOff>
      <xdr:row>12</xdr:row>
      <xdr:rowOff>409575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9774EB0-0D11-4017-BE8B-3DCFF4E0DE00}"/>
            </a:ext>
          </a:extLst>
        </xdr:cNvPr>
        <xdr:cNvSpPr/>
      </xdr:nvSpPr>
      <xdr:spPr>
        <a:xfrm>
          <a:off x="6696075" y="3886200"/>
          <a:ext cx="485776" cy="4000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12</a:t>
          </a:r>
        </a:p>
      </xdr:txBody>
    </xdr:sp>
    <xdr:clientData/>
  </xdr:twoCellAnchor>
  <xdr:twoCellAnchor>
    <xdr:from>
      <xdr:col>11</xdr:col>
      <xdr:colOff>485775</xdr:colOff>
      <xdr:row>12</xdr:row>
      <xdr:rowOff>9525</xdr:rowOff>
    </xdr:from>
    <xdr:to>
      <xdr:col>12</xdr:col>
      <xdr:colOff>361951</xdr:colOff>
      <xdr:row>12</xdr:row>
      <xdr:rowOff>381000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52D0929B-995D-4958-8F02-B838F8E6D98B}"/>
            </a:ext>
          </a:extLst>
        </xdr:cNvPr>
        <xdr:cNvSpPr/>
      </xdr:nvSpPr>
      <xdr:spPr>
        <a:xfrm>
          <a:off x="7191375" y="3886200"/>
          <a:ext cx="485776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13</a:t>
          </a:r>
        </a:p>
      </xdr:txBody>
    </xdr:sp>
    <xdr:clientData/>
  </xdr:twoCellAnchor>
  <xdr:twoCellAnchor>
    <xdr:from>
      <xdr:col>16</xdr:col>
      <xdr:colOff>114300</xdr:colOff>
      <xdr:row>12</xdr:row>
      <xdr:rowOff>0</xdr:rowOff>
    </xdr:from>
    <xdr:to>
      <xdr:col>16</xdr:col>
      <xdr:colOff>600076</xdr:colOff>
      <xdr:row>12</xdr:row>
      <xdr:rowOff>419100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0F35D891-04BD-43DE-9429-072FB27178C3}"/>
            </a:ext>
          </a:extLst>
        </xdr:cNvPr>
        <xdr:cNvSpPr/>
      </xdr:nvSpPr>
      <xdr:spPr>
        <a:xfrm>
          <a:off x="9867900" y="3876675"/>
          <a:ext cx="485776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14</a:t>
          </a:r>
        </a:p>
      </xdr:txBody>
    </xdr:sp>
    <xdr:clientData/>
  </xdr:twoCellAnchor>
  <xdr:twoCellAnchor>
    <xdr:from>
      <xdr:col>17</xdr:col>
      <xdr:colOff>38099</xdr:colOff>
      <xdr:row>12</xdr:row>
      <xdr:rowOff>0</xdr:rowOff>
    </xdr:from>
    <xdr:to>
      <xdr:col>17</xdr:col>
      <xdr:colOff>542924</xdr:colOff>
      <xdr:row>12</xdr:row>
      <xdr:rowOff>419100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02136902-DDD3-4DEB-BD96-EBD5882261A5}"/>
            </a:ext>
          </a:extLst>
        </xdr:cNvPr>
        <xdr:cNvSpPr/>
      </xdr:nvSpPr>
      <xdr:spPr>
        <a:xfrm>
          <a:off x="10401299" y="3876675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15</a:t>
          </a:r>
        </a:p>
      </xdr:txBody>
    </xdr:sp>
    <xdr:clientData/>
  </xdr:twoCellAnchor>
  <xdr:twoCellAnchor>
    <xdr:from>
      <xdr:col>12</xdr:col>
      <xdr:colOff>333374</xdr:colOff>
      <xdr:row>11</xdr:row>
      <xdr:rowOff>466724</xdr:rowOff>
    </xdr:from>
    <xdr:to>
      <xdr:col>13</xdr:col>
      <xdr:colOff>219075</xdr:colOff>
      <xdr:row>13</xdr:row>
      <xdr:rowOff>0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AA46AFBA-1EBA-4A53-833A-0F9527BDCCCF}"/>
            </a:ext>
          </a:extLst>
        </xdr:cNvPr>
        <xdr:cNvSpPr/>
      </xdr:nvSpPr>
      <xdr:spPr>
        <a:xfrm>
          <a:off x="7648574" y="3876674"/>
          <a:ext cx="495301" cy="43815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16</a:t>
          </a:r>
        </a:p>
      </xdr:txBody>
    </xdr:sp>
    <xdr:clientData/>
  </xdr:twoCellAnchor>
  <xdr:twoCellAnchor>
    <xdr:from>
      <xdr:col>11</xdr:col>
      <xdr:colOff>19049</xdr:colOff>
      <xdr:row>10</xdr:row>
      <xdr:rowOff>0</xdr:rowOff>
    </xdr:from>
    <xdr:to>
      <xdr:col>11</xdr:col>
      <xdr:colOff>523874</xdr:colOff>
      <xdr:row>10</xdr:row>
      <xdr:rowOff>419100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BFE16F77-0CD8-4537-8731-D5254764A5CB}"/>
            </a:ext>
          </a:extLst>
        </xdr:cNvPr>
        <xdr:cNvSpPr/>
      </xdr:nvSpPr>
      <xdr:spPr>
        <a:xfrm>
          <a:off x="6724649" y="297180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17</a:t>
          </a:r>
        </a:p>
      </xdr:txBody>
    </xdr:sp>
    <xdr:clientData/>
  </xdr:twoCellAnchor>
  <xdr:twoCellAnchor>
    <xdr:from>
      <xdr:col>11</xdr:col>
      <xdr:colOff>9524</xdr:colOff>
      <xdr:row>9</xdr:row>
      <xdr:rowOff>28575</xdr:rowOff>
    </xdr:from>
    <xdr:to>
      <xdr:col>11</xdr:col>
      <xdr:colOff>514349</xdr:colOff>
      <xdr:row>9</xdr:row>
      <xdr:rowOff>447675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89A2833D-C2B6-455E-8A9B-19EC599D920A}"/>
            </a:ext>
          </a:extLst>
        </xdr:cNvPr>
        <xdr:cNvSpPr/>
      </xdr:nvSpPr>
      <xdr:spPr>
        <a:xfrm>
          <a:off x="6715124" y="253365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18</a:t>
          </a:r>
        </a:p>
      </xdr:txBody>
    </xdr:sp>
    <xdr:clientData/>
  </xdr:twoCellAnchor>
  <xdr:twoCellAnchor>
    <xdr:from>
      <xdr:col>11</xdr:col>
      <xdr:colOff>514349</xdr:colOff>
      <xdr:row>9</xdr:row>
      <xdr:rowOff>19050</xdr:rowOff>
    </xdr:from>
    <xdr:to>
      <xdr:col>12</xdr:col>
      <xdr:colOff>409574</xdr:colOff>
      <xdr:row>9</xdr:row>
      <xdr:rowOff>438150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464A1E54-1E6E-4D21-885B-FD20605E78B4}"/>
            </a:ext>
          </a:extLst>
        </xdr:cNvPr>
        <xdr:cNvSpPr/>
      </xdr:nvSpPr>
      <xdr:spPr>
        <a:xfrm>
          <a:off x="7219949" y="2524125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19</a:t>
          </a:r>
        </a:p>
      </xdr:txBody>
    </xdr:sp>
    <xdr:clientData/>
  </xdr:twoCellAnchor>
  <xdr:twoCellAnchor>
    <xdr:from>
      <xdr:col>23</xdr:col>
      <xdr:colOff>47624</xdr:colOff>
      <xdr:row>11</xdr:row>
      <xdr:rowOff>28575</xdr:rowOff>
    </xdr:from>
    <xdr:to>
      <xdr:col>23</xdr:col>
      <xdr:colOff>552449</xdr:colOff>
      <xdr:row>11</xdr:row>
      <xdr:rowOff>447675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E8AEFA5E-1CD1-44AE-94A1-F819B4F6AEF2}"/>
            </a:ext>
          </a:extLst>
        </xdr:cNvPr>
        <xdr:cNvSpPr/>
      </xdr:nvSpPr>
      <xdr:spPr>
        <a:xfrm>
          <a:off x="14068424" y="3438525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20</a:t>
          </a:r>
        </a:p>
      </xdr:txBody>
    </xdr:sp>
    <xdr:clientData/>
  </xdr:twoCellAnchor>
  <xdr:twoCellAnchor>
    <xdr:from>
      <xdr:col>23</xdr:col>
      <xdr:colOff>0</xdr:colOff>
      <xdr:row>9</xdr:row>
      <xdr:rowOff>0</xdr:rowOff>
    </xdr:from>
    <xdr:to>
      <xdr:col>23</xdr:col>
      <xdr:colOff>504825</xdr:colOff>
      <xdr:row>9</xdr:row>
      <xdr:rowOff>419100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9063DD68-BCE1-493D-8035-46AFDB59F200}"/>
            </a:ext>
          </a:extLst>
        </xdr:cNvPr>
        <xdr:cNvSpPr/>
      </xdr:nvSpPr>
      <xdr:spPr>
        <a:xfrm>
          <a:off x="14020800" y="2505075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21</a:t>
          </a:r>
        </a:p>
      </xdr:txBody>
    </xdr:sp>
    <xdr:clientData/>
  </xdr:twoCellAnchor>
  <xdr:twoCellAnchor>
    <xdr:from>
      <xdr:col>24</xdr:col>
      <xdr:colOff>304800</xdr:colOff>
      <xdr:row>10</xdr:row>
      <xdr:rowOff>19050</xdr:rowOff>
    </xdr:from>
    <xdr:to>
      <xdr:col>25</xdr:col>
      <xdr:colOff>200025</xdr:colOff>
      <xdr:row>11</xdr:row>
      <xdr:rowOff>0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713FB5DD-F933-4D1B-963C-16694706C586}"/>
            </a:ext>
          </a:extLst>
        </xdr:cNvPr>
        <xdr:cNvSpPr/>
      </xdr:nvSpPr>
      <xdr:spPr>
        <a:xfrm>
          <a:off x="14935200" y="299085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24</a:t>
          </a:r>
        </a:p>
      </xdr:txBody>
    </xdr:sp>
    <xdr:clientData/>
  </xdr:twoCellAnchor>
  <xdr:twoCellAnchor>
    <xdr:from>
      <xdr:col>23</xdr:col>
      <xdr:colOff>0</xdr:colOff>
      <xdr:row>12</xdr:row>
      <xdr:rowOff>0</xdr:rowOff>
    </xdr:from>
    <xdr:to>
      <xdr:col>23</xdr:col>
      <xdr:colOff>504825</xdr:colOff>
      <xdr:row>12</xdr:row>
      <xdr:rowOff>419100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0257CCDE-5933-4D73-AD4A-A980D4A04FC3}"/>
            </a:ext>
          </a:extLst>
        </xdr:cNvPr>
        <xdr:cNvSpPr/>
      </xdr:nvSpPr>
      <xdr:spPr>
        <a:xfrm>
          <a:off x="14020800" y="3876675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25</a:t>
          </a:r>
        </a:p>
      </xdr:txBody>
    </xdr:sp>
    <xdr:clientData/>
  </xdr:twoCellAnchor>
  <xdr:twoCellAnchor>
    <xdr:from>
      <xdr:col>23</xdr:col>
      <xdr:colOff>600075</xdr:colOff>
      <xdr:row>11</xdr:row>
      <xdr:rowOff>57150</xdr:rowOff>
    </xdr:from>
    <xdr:to>
      <xdr:col>24</xdr:col>
      <xdr:colOff>495300</xdr:colOff>
      <xdr:row>12</xdr:row>
      <xdr:rowOff>9525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C56BD593-EFDC-4AA6-B434-1D4ADE40298A}"/>
            </a:ext>
          </a:extLst>
        </xdr:cNvPr>
        <xdr:cNvSpPr/>
      </xdr:nvSpPr>
      <xdr:spPr>
        <a:xfrm>
          <a:off x="14620875" y="346710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26</a:t>
          </a:r>
        </a:p>
      </xdr:txBody>
    </xdr:sp>
    <xdr:clientData/>
  </xdr:twoCellAnchor>
  <xdr:twoCellAnchor>
    <xdr:from>
      <xdr:col>13</xdr:col>
      <xdr:colOff>142876</xdr:colOff>
      <xdr:row>12</xdr:row>
      <xdr:rowOff>28575</xdr:rowOff>
    </xdr:from>
    <xdr:to>
      <xdr:col>13</xdr:col>
      <xdr:colOff>657225</xdr:colOff>
      <xdr:row>13</xdr:row>
      <xdr:rowOff>47625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A476BE07-6573-43B7-82D8-7F05BF99FD11}"/>
            </a:ext>
          </a:extLst>
        </xdr:cNvPr>
        <xdr:cNvSpPr/>
      </xdr:nvSpPr>
      <xdr:spPr>
        <a:xfrm>
          <a:off x="8067676" y="3905250"/>
          <a:ext cx="514349" cy="457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27</a:t>
          </a:r>
        </a:p>
      </xdr:txBody>
    </xdr:sp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504825</xdr:colOff>
      <xdr:row>10</xdr:row>
      <xdr:rowOff>419100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7BFD624C-1DAF-43B7-A3D0-A4FE3619E6D8}"/>
            </a:ext>
          </a:extLst>
        </xdr:cNvPr>
        <xdr:cNvSpPr/>
      </xdr:nvSpPr>
      <xdr:spPr>
        <a:xfrm>
          <a:off x="8534400" y="297180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28</a:t>
          </a:r>
        </a:p>
      </xdr:txBody>
    </xdr:sp>
    <xdr:clientData/>
  </xdr:twoCellAnchor>
  <xdr:twoCellAnchor>
    <xdr:from>
      <xdr:col>11</xdr:col>
      <xdr:colOff>571500</xdr:colOff>
      <xdr:row>10</xdr:row>
      <xdr:rowOff>19050</xdr:rowOff>
    </xdr:from>
    <xdr:to>
      <xdr:col>12</xdr:col>
      <xdr:colOff>466725</xdr:colOff>
      <xdr:row>11</xdr:row>
      <xdr:rowOff>0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9C362B36-8755-4814-81B4-B98682EF3ABC}"/>
            </a:ext>
          </a:extLst>
        </xdr:cNvPr>
        <xdr:cNvSpPr/>
      </xdr:nvSpPr>
      <xdr:spPr>
        <a:xfrm>
          <a:off x="7277100" y="299085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29</a:t>
          </a:r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504825</xdr:colOff>
      <xdr:row>11</xdr:row>
      <xdr:rowOff>419100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0EF9D8E7-F62D-453B-BCF9-E92596379650}"/>
            </a:ext>
          </a:extLst>
        </xdr:cNvPr>
        <xdr:cNvSpPr/>
      </xdr:nvSpPr>
      <xdr:spPr>
        <a:xfrm>
          <a:off x="10363200" y="340995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30</a:t>
          </a:r>
        </a:p>
      </xdr:txBody>
    </xdr:sp>
    <xdr:clientData/>
  </xdr:twoCellAnchor>
  <xdr:twoCellAnchor>
    <xdr:from>
      <xdr:col>13</xdr:col>
      <xdr:colOff>600075</xdr:colOff>
      <xdr:row>12</xdr:row>
      <xdr:rowOff>9525</xdr:rowOff>
    </xdr:from>
    <xdr:to>
      <xdr:col>14</xdr:col>
      <xdr:colOff>0</xdr:colOff>
      <xdr:row>12</xdr:row>
      <xdr:rowOff>428625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29811CED-31BF-4FA6-8526-9A733D265569}"/>
            </a:ext>
          </a:extLst>
        </xdr:cNvPr>
        <xdr:cNvSpPr/>
      </xdr:nvSpPr>
      <xdr:spPr>
        <a:xfrm>
          <a:off x="8524875" y="388620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31</a:t>
          </a:r>
        </a:p>
      </xdr:txBody>
    </xdr:sp>
    <xdr:clientData/>
  </xdr:twoCellAnchor>
  <xdr:twoCellAnchor>
    <xdr:from>
      <xdr:col>21</xdr:col>
      <xdr:colOff>276225</xdr:colOff>
      <xdr:row>10</xdr:row>
      <xdr:rowOff>0</xdr:rowOff>
    </xdr:from>
    <xdr:to>
      <xdr:col>21</xdr:col>
      <xdr:colOff>781050</xdr:colOff>
      <xdr:row>10</xdr:row>
      <xdr:rowOff>419100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26DD36D4-A03D-4BB2-8815-80DD25E7A9B5}"/>
            </a:ext>
          </a:extLst>
        </xdr:cNvPr>
        <xdr:cNvSpPr/>
      </xdr:nvSpPr>
      <xdr:spPr>
        <a:xfrm>
          <a:off x="14058900" y="297180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22</a:t>
          </a:r>
        </a:p>
      </xdr:txBody>
    </xdr:sp>
    <xdr:clientData/>
  </xdr:twoCellAnchor>
  <xdr:twoCellAnchor>
    <xdr:from>
      <xdr:col>21</xdr:col>
      <xdr:colOff>38100</xdr:colOff>
      <xdr:row>12</xdr:row>
      <xdr:rowOff>28575</xdr:rowOff>
    </xdr:from>
    <xdr:to>
      <xdr:col>21</xdr:col>
      <xdr:colOff>542925</xdr:colOff>
      <xdr:row>13</xdr:row>
      <xdr:rowOff>9525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5A74E337-FE88-4CFB-938B-A1331FFD8D77}"/>
            </a:ext>
          </a:extLst>
        </xdr:cNvPr>
        <xdr:cNvSpPr/>
      </xdr:nvSpPr>
      <xdr:spPr>
        <a:xfrm>
          <a:off x="13820775" y="390525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23</a:t>
          </a:r>
        </a:p>
      </xdr:txBody>
    </xdr:sp>
    <xdr:clientData/>
  </xdr:twoCellAnchor>
  <xdr:twoCellAnchor>
    <xdr:from>
      <xdr:col>14</xdr:col>
      <xdr:colOff>514350</xdr:colOff>
      <xdr:row>10</xdr:row>
      <xdr:rowOff>0</xdr:rowOff>
    </xdr:from>
    <xdr:to>
      <xdr:col>15</xdr:col>
      <xdr:colOff>409575</xdr:colOff>
      <xdr:row>10</xdr:row>
      <xdr:rowOff>419100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AE1715EF-0548-4EE6-998B-86AB09E4048D}"/>
            </a:ext>
          </a:extLst>
        </xdr:cNvPr>
        <xdr:cNvSpPr/>
      </xdr:nvSpPr>
      <xdr:spPr>
        <a:xfrm>
          <a:off x="9544050" y="2971800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24</a:t>
          </a:r>
        </a:p>
      </xdr:txBody>
    </xdr:sp>
    <xdr:clientData/>
  </xdr:twoCellAnchor>
  <xdr:twoCellAnchor>
    <xdr:from>
      <xdr:col>23</xdr:col>
      <xdr:colOff>542925</xdr:colOff>
      <xdr:row>8</xdr:row>
      <xdr:rowOff>485775</xdr:rowOff>
    </xdr:from>
    <xdr:to>
      <xdr:col>24</xdr:col>
      <xdr:colOff>438150</xdr:colOff>
      <xdr:row>9</xdr:row>
      <xdr:rowOff>400050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BA43B7DD-1BF0-4135-9C72-EE85CFF557F5}"/>
            </a:ext>
          </a:extLst>
        </xdr:cNvPr>
        <xdr:cNvSpPr/>
      </xdr:nvSpPr>
      <xdr:spPr>
        <a:xfrm>
          <a:off x="15906750" y="2486025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25</a:t>
          </a:r>
        </a:p>
      </xdr:txBody>
    </xdr:sp>
    <xdr:clientData/>
  </xdr:twoCellAnchor>
  <xdr:twoCellAnchor>
    <xdr:from>
      <xdr:col>20</xdr:col>
      <xdr:colOff>514350</xdr:colOff>
      <xdr:row>11</xdr:row>
      <xdr:rowOff>9525</xdr:rowOff>
    </xdr:from>
    <xdr:to>
      <xdr:col>21</xdr:col>
      <xdr:colOff>409575</xdr:colOff>
      <xdr:row>11</xdr:row>
      <xdr:rowOff>428625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0C956A87-0CD9-4072-B7B0-2666350A206B}"/>
            </a:ext>
          </a:extLst>
        </xdr:cNvPr>
        <xdr:cNvSpPr/>
      </xdr:nvSpPr>
      <xdr:spPr>
        <a:xfrm>
          <a:off x="13687425" y="3419475"/>
          <a:ext cx="5048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CDCA-94CE-4CDA-BE37-79DB52B9AC47}">
  <dimension ref="A1:P105"/>
  <sheetViews>
    <sheetView topLeftCell="A16" zoomScale="62" zoomScaleNormal="62" workbookViewId="0">
      <selection activeCell="B50" sqref="B50"/>
    </sheetView>
  </sheetViews>
  <sheetFormatPr defaultRowHeight="15" x14ac:dyDescent="0.25"/>
  <cols>
    <col min="1" max="1" width="7" customWidth="1"/>
    <col min="2" max="2" width="62.5703125" customWidth="1"/>
    <col min="3" max="3" width="33.5703125" customWidth="1"/>
    <col min="4" max="4" width="33.28515625" customWidth="1"/>
    <col min="5" max="6" width="9.140625" customWidth="1"/>
    <col min="7" max="7" width="35.85546875" customWidth="1"/>
    <col min="8" max="8" width="109.7109375" customWidth="1"/>
    <col min="9" max="9" width="39.140625" customWidth="1"/>
    <col min="13" max="14" width="9.140625" customWidth="1"/>
    <col min="16" max="16" width="9.140625" customWidth="1"/>
    <col min="20" max="22" width="9.140625" customWidth="1"/>
  </cols>
  <sheetData>
    <row r="1" spans="1:16" ht="26.25" x14ac:dyDescent="0.4">
      <c r="A1" s="164" t="s">
        <v>66</v>
      </c>
      <c r="B1" s="165"/>
      <c r="C1" s="165"/>
      <c r="D1" s="165"/>
      <c r="F1" s="163" t="s">
        <v>7</v>
      </c>
      <c r="G1" s="163"/>
      <c r="H1" s="36" t="s">
        <v>8</v>
      </c>
      <c r="I1" s="34"/>
      <c r="J1" s="33"/>
      <c r="K1" s="1"/>
      <c r="L1" s="1"/>
      <c r="M1" s="1"/>
      <c r="N1" s="1"/>
      <c r="O1" s="1"/>
      <c r="P1" s="1"/>
    </row>
    <row r="2" spans="1:16" ht="0.75" customHeight="1" x14ac:dyDescent="0.25">
      <c r="A2" s="166"/>
      <c r="B2" s="169"/>
      <c r="C2" s="18"/>
      <c r="D2" s="21"/>
      <c r="J2" s="10"/>
    </row>
    <row r="3" spans="1:16" ht="20.25" customHeight="1" x14ac:dyDescent="0.25">
      <c r="A3" s="166"/>
      <c r="B3" s="169"/>
      <c r="C3" s="19"/>
      <c r="D3" s="26"/>
      <c r="F3" s="29"/>
      <c r="G3" s="81"/>
      <c r="H3" s="91"/>
      <c r="J3" s="10"/>
    </row>
    <row r="4" spans="1:16" ht="31.5" customHeight="1" x14ac:dyDescent="0.35">
      <c r="A4" s="166"/>
      <c r="B4" s="169"/>
      <c r="C4" s="19" t="s">
        <v>3</v>
      </c>
      <c r="D4" s="26" t="s">
        <v>4</v>
      </c>
      <c r="F4" s="37"/>
      <c r="G4" s="82"/>
      <c r="H4" s="92" t="s">
        <v>47</v>
      </c>
    </row>
    <row r="5" spans="1:16" ht="34.5" customHeight="1" x14ac:dyDescent="0.25">
      <c r="A5" s="167"/>
      <c r="B5" s="169"/>
      <c r="C5" s="20"/>
      <c r="D5" s="22"/>
      <c r="F5" s="38">
        <v>1</v>
      </c>
      <c r="G5" s="82" t="s">
        <v>9</v>
      </c>
      <c r="H5" s="91"/>
    </row>
    <row r="6" spans="1:16" ht="26.25" customHeight="1" x14ac:dyDescent="0.5">
      <c r="A6" s="2" t="s">
        <v>0</v>
      </c>
      <c r="B6" s="35" t="s">
        <v>1</v>
      </c>
      <c r="C6" s="23" t="s">
        <v>2</v>
      </c>
      <c r="D6" s="28"/>
      <c r="F6" s="39"/>
      <c r="G6" s="75"/>
      <c r="H6" s="93"/>
    </row>
    <row r="7" spans="1:16" ht="21" customHeight="1" x14ac:dyDescent="0.25">
      <c r="A7" s="168"/>
      <c r="B7" s="169"/>
      <c r="C7" s="27" t="s">
        <v>5</v>
      </c>
      <c r="D7" s="31" t="s">
        <v>6</v>
      </c>
      <c r="F7" s="40"/>
      <c r="G7" s="73"/>
      <c r="H7" s="94"/>
    </row>
    <row r="8" spans="1:16" ht="23.25" x14ac:dyDescent="0.35">
      <c r="A8" s="166"/>
      <c r="B8" s="169"/>
      <c r="C8" s="24"/>
      <c r="D8" s="29"/>
      <c r="F8" s="41"/>
      <c r="G8" s="83"/>
      <c r="H8" s="95" t="s">
        <v>49</v>
      </c>
    </row>
    <row r="9" spans="1:16" ht="23.25" x14ac:dyDescent="0.35">
      <c r="A9" s="166"/>
      <c r="B9" s="169"/>
      <c r="C9" s="27"/>
      <c r="D9" s="31"/>
      <c r="F9" s="38">
        <v>2</v>
      </c>
      <c r="G9" s="84" t="s">
        <v>10</v>
      </c>
      <c r="H9" s="95" t="s">
        <v>48</v>
      </c>
    </row>
    <row r="10" spans="1:16" ht="18" x14ac:dyDescent="0.25">
      <c r="A10" s="166"/>
      <c r="B10" s="169"/>
      <c r="C10" s="24"/>
      <c r="D10" s="29"/>
      <c r="F10" s="42"/>
      <c r="G10" s="74"/>
      <c r="H10" s="74"/>
    </row>
    <row r="11" spans="1:16" x14ac:dyDescent="0.25">
      <c r="A11" s="166"/>
      <c r="B11" s="169"/>
      <c r="C11" s="24"/>
      <c r="D11" s="29"/>
      <c r="F11" s="40"/>
      <c r="G11" s="67"/>
      <c r="H11" s="67"/>
    </row>
    <row r="12" spans="1:16" ht="23.25" x14ac:dyDescent="0.35">
      <c r="A12" s="166"/>
      <c r="B12" s="169"/>
      <c r="C12" s="25"/>
      <c r="D12" s="30"/>
      <c r="F12" s="41"/>
      <c r="G12" s="85"/>
      <c r="H12" s="96" t="s">
        <v>50</v>
      </c>
    </row>
    <row r="13" spans="1:16" ht="20.25" customHeight="1" x14ac:dyDescent="0.35">
      <c r="A13" s="3"/>
      <c r="B13" s="7"/>
      <c r="C13" s="67"/>
      <c r="D13" s="71"/>
      <c r="F13" s="38">
        <v>3</v>
      </c>
      <c r="G13" s="86" t="s">
        <v>11</v>
      </c>
      <c r="H13" s="96" t="s">
        <v>61</v>
      </c>
    </row>
    <row r="14" spans="1:16" ht="18" x14ac:dyDescent="0.25">
      <c r="A14" s="5">
        <v>1</v>
      </c>
      <c r="B14" s="17" t="s">
        <v>27</v>
      </c>
      <c r="C14" s="105">
        <v>3</v>
      </c>
      <c r="D14" s="106">
        <v>4</v>
      </c>
      <c r="F14" s="39"/>
      <c r="G14" s="68"/>
      <c r="H14" s="68"/>
    </row>
    <row r="15" spans="1:16" ht="15" customHeight="1" x14ac:dyDescent="0.25">
      <c r="A15" s="4"/>
      <c r="B15" s="8"/>
      <c r="C15" s="68"/>
      <c r="D15" s="72"/>
      <c r="F15" s="40"/>
      <c r="G15" s="71"/>
      <c r="H15" s="71"/>
    </row>
    <row r="16" spans="1:16" ht="23.25" x14ac:dyDescent="0.35">
      <c r="A16" s="12"/>
      <c r="B16" s="9"/>
      <c r="C16" s="67"/>
      <c r="D16" s="69"/>
      <c r="F16" s="41"/>
      <c r="G16" s="87"/>
      <c r="H16" s="97" t="s">
        <v>51</v>
      </c>
    </row>
    <row r="17" spans="1:9" ht="23.25" x14ac:dyDescent="0.35">
      <c r="A17" s="6">
        <v>2</v>
      </c>
      <c r="B17" s="32" t="s">
        <v>28</v>
      </c>
      <c r="C17" s="105">
        <v>3</v>
      </c>
      <c r="D17" s="107">
        <v>5</v>
      </c>
      <c r="F17" s="38">
        <v>4</v>
      </c>
      <c r="G17" s="88" t="s">
        <v>12</v>
      </c>
      <c r="H17" s="97" t="s">
        <v>52</v>
      </c>
    </row>
    <row r="18" spans="1:9" x14ac:dyDescent="0.25">
      <c r="A18" s="13"/>
      <c r="B18" s="11"/>
      <c r="C18" s="68"/>
      <c r="D18" s="70"/>
      <c r="F18" s="39"/>
      <c r="G18" s="72"/>
      <c r="H18" s="72"/>
    </row>
    <row r="19" spans="1:9" x14ac:dyDescent="0.25">
      <c r="A19" s="12"/>
      <c r="B19" s="9"/>
      <c r="C19" s="73"/>
      <c r="D19" s="109"/>
      <c r="F19" s="40"/>
      <c r="G19" s="69"/>
      <c r="H19" s="69"/>
    </row>
    <row r="20" spans="1:9" ht="23.25" x14ac:dyDescent="0.35">
      <c r="A20" s="5">
        <v>3</v>
      </c>
      <c r="B20" s="17" t="s">
        <v>29</v>
      </c>
      <c r="C20" s="108">
        <v>2</v>
      </c>
      <c r="D20" s="110">
        <v>4</v>
      </c>
      <c r="F20" s="41"/>
      <c r="G20" s="89"/>
      <c r="H20" s="98" t="s">
        <v>53</v>
      </c>
    </row>
    <row r="21" spans="1:9" ht="23.25" x14ac:dyDescent="0.35">
      <c r="A21" s="13"/>
      <c r="B21" s="14"/>
      <c r="C21" s="74"/>
      <c r="D21" s="111"/>
      <c r="F21" s="38">
        <v>5</v>
      </c>
      <c r="G21" s="90" t="s">
        <v>13</v>
      </c>
      <c r="H21" s="98" t="s">
        <v>54</v>
      </c>
    </row>
    <row r="22" spans="1:9" x14ac:dyDescent="0.25">
      <c r="A22" s="12"/>
      <c r="B22" s="15"/>
      <c r="C22" s="112"/>
      <c r="D22" s="114"/>
      <c r="F22" s="30"/>
      <c r="G22" s="70"/>
      <c r="H22" s="70"/>
    </row>
    <row r="23" spans="1:9" ht="18" x14ac:dyDescent="0.25">
      <c r="A23" s="5">
        <v>4</v>
      </c>
      <c r="B23" s="32" t="s">
        <v>30</v>
      </c>
      <c r="C23" s="113">
        <v>1</v>
      </c>
      <c r="D23" s="115">
        <v>2</v>
      </c>
    </row>
    <row r="24" spans="1:9" x14ac:dyDescent="0.25">
      <c r="A24" s="13"/>
      <c r="B24" s="16"/>
      <c r="C24" s="75"/>
      <c r="D24" s="116"/>
    </row>
    <row r="25" spans="1:9" x14ac:dyDescent="0.25">
      <c r="A25" s="12"/>
      <c r="B25" s="15"/>
      <c r="C25" s="69"/>
      <c r="D25" s="117"/>
    </row>
    <row r="26" spans="1:9" ht="18" x14ac:dyDescent="0.25">
      <c r="A26" s="5">
        <v>5</v>
      </c>
      <c r="B26" s="32" t="s">
        <v>36</v>
      </c>
      <c r="C26" s="107">
        <v>5</v>
      </c>
      <c r="D26" s="118">
        <v>3</v>
      </c>
      <c r="F26" s="162" t="s">
        <v>14</v>
      </c>
      <c r="G26" s="162"/>
      <c r="H26" s="60" t="s">
        <v>15</v>
      </c>
      <c r="I26" s="99" t="s">
        <v>60</v>
      </c>
    </row>
    <row r="27" spans="1:9" ht="18" x14ac:dyDescent="0.25">
      <c r="A27" s="13"/>
      <c r="B27" s="16"/>
      <c r="C27" s="70"/>
      <c r="D27" s="119"/>
      <c r="F27" s="61">
        <v>1</v>
      </c>
      <c r="G27" s="50" t="s">
        <v>9</v>
      </c>
      <c r="H27" s="51" t="s">
        <v>55</v>
      </c>
      <c r="I27" s="100">
        <v>0.1</v>
      </c>
    </row>
    <row r="28" spans="1:9" ht="18" x14ac:dyDescent="0.25">
      <c r="A28" s="12"/>
      <c r="B28" s="15"/>
      <c r="C28" s="69"/>
      <c r="D28" s="117"/>
      <c r="F28" s="61">
        <v>2</v>
      </c>
      <c r="G28" s="52" t="s">
        <v>16</v>
      </c>
      <c r="H28" s="53" t="s">
        <v>56</v>
      </c>
      <c r="I28" s="101">
        <v>0.3</v>
      </c>
    </row>
    <row r="29" spans="1:9" ht="18" x14ac:dyDescent="0.25">
      <c r="A29" s="5">
        <v>6</v>
      </c>
      <c r="B29" s="32" t="s">
        <v>31</v>
      </c>
      <c r="C29" s="107">
        <v>5</v>
      </c>
      <c r="D29" s="118">
        <v>3</v>
      </c>
      <c r="F29" s="61">
        <v>3</v>
      </c>
      <c r="G29" s="54" t="s">
        <v>17</v>
      </c>
      <c r="H29" s="55" t="s">
        <v>57</v>
      </c>
      <c r="I29" s="102">
        <v>0.5</v>
      </c>
    </row>
    <row r="30" spans="1:9" ht="18" x14ac:dyDescent="0.25">
      <c r="A30" s="13"/>
      <c r="B30" s="16"/>
      <c r="C30" s="70"/>
      <c r="D30" s="119"/>
      <c r="F30" s="61">
        <v>4</v>
      </c>
      <c r="G30" s="56" t="s">
        <v>18</v>
      </c>
      <c r="H30" s="57" t="s">
        <v>58</v>
      </c>
      <c r="I30" s="103">
        <v>0.7</v>
      </c>
    </row>
    <row r="31" spans="1:9" ht="18" x14ac:dyDescent="0.25">
      <c r="A31" s="12"/>
      <c r="B31" s="15"/>
      <c r="C31" s="69"/>
      <c r="D31" s="120"/>
      <c r="F31" s="61">
        <v>5</v>
      </c>
      <c r="G31" s="58" t="s">
        <v>19</v>
      </c>
      <c r="H31" s="59" t="s">
        <v>59</v>
      </c>
      <c r="I31" s="104">
        <v>0.9</v>
      </c>
    </row>
    <row r="32" spans="1:9" ht="18" x14ac:dyDescent="0.25">
      <c r="A32" s="5">
        <v>7</v>
      </c>
      <c r="B32" s="32" t="s">
        <v>35</v>
      </c>
      <c r="C32" s="107">
        <v>5</v>
      </c>
      <c r="D32" s="121">
        <v>4</v>
      </c>
    </row>
    <row r="33" spans="1:7" x14ac:dyDescent="0.25">
      <c r="A33" s="13"/>
      <c r="B33" s="16"/>
      <c r="C33" s="70"/>
      <c r="D33" s="122"/>
    </row>
    <row r="34" spans="1:7" ht="18" x14ac:dyDescent="0.25">
      <c r="A34" s="62"/>
      <c r="B34" s="15"/>
      <c r="C34" s="67"/>
      <c r="D34" s="120"/>
      <c r="G34" s="43" t="s">
        <v>20</v>
      </c>
    </row>
    <row r="35" spans="1:7" ht="21" customHeight="1" x14ac:dyDescent="0.25">
      <c r="A35" s="5">
        <v>8</v>
      </c>
      <c r="B35" s="32" t="s">
        <v>41</v>
      </c>
      <c r="C35" s="105">
        <v>3</v>
      </c>
      <c r="D35" s="121">
        <v>4</v>
      </c>
      <c r="G35" s="44" t="s">
        <v>21</v>
      </c>
    </row>
    <row r="36" spans="1:7" ht="15.75" x14ac:dyDescent="0.25">
      <c r="A36" s="63"/>
      <c r="B36" s="16"/>
      <c r="C36" s="68"/>
      <c r="D36" s="122"/>
      <c r="G36" s="44" t="s">
        <v>22</v>
      </c>
    </row>
    <row r="37" spans="1:7" ht="18" x14ac:dyDescent="0.25">
      <c r="A37" s="64"/>
      <c r="B37" s="15"/>
      <c r="C37" s="112"/>
      <c r="D37" s="73"/>
      <c r="G37" s="44" t="s">
        <v>23</v>
      </c>
    </row>
    <row r="38" spans="1:7" ht="18" x14ac:dyDescent="0.25">
      <c r="A38" s="5">
        <v>9</v>
      </c>
      <c r="B38" s="32" t="s">
        <v>32</v>
      </c>
      <c r="C38" s="113">
        <v>1</v>
      </c>
      <c r="D38" s="108">
        <v>2</v>
      </c>
      <c r="G38" s="44" t="s">
        <v>24</v>
      </c>
    </row>
    <row r="39" spans="1:7" ht="18" x14ac:dyDescent="0.25">
      <c r="A39" s="65"/>
      <c r="B39" s="16"/>
      <c r="C39" s="75"/>
      <c r="D39" s="74"/>
    </row>
    <row r="40" spans="1:7" ht="18" x14ac:dyDescent="0.25">
      <c r="A40" s="64"/>
      <c r="B40" s="15"/>
      <c r="C40" s="112"/>
      <c r="D40" s="73"/>
    </row>
    <row r="41" spans="1:7" ht="18" x14ac:dyDescent="0.25">
      <c r="A41" s="5">
        <v>10</v>
      </c>
      <c r="B41" s="32" t="s">
        <v>34</v>
      </c>
      <c r="C41" s="113">
        <v>1</v>
      </c>
      <c r="D41" s="108">
        <v>2</v>
      </c>
    </row>
    <row r="42" spans="1:7" ht="18" x14ac:dyDescent="0.25">
      <c r="A42" s="65"/>
      <c r="B42" s="16"/>
      <c r="C42" s="75"/>
      <c r="D42" s="74"/>
    </row>
    <row r="43" spans="1:7" ht="18" x14ac:dyDescent="0.25">
      <c r="A43" s="64"/>
      <c r="B43" s="15"/>
      <c r="C43" s="67"/>
      <c r="D43" s="123"/>
    </row>
    <row r="44" spans="1:7" ht="18" x14ac:dyDescent="0.25">
      <c r="A44" s="5">
        <v>11</v>
      </c>
      <c r="B44" s="32" t="s">
        <v>33</v>
      </c>
      <c r="C44" s="105">
        <v>3</v>
      </c>
      <c r="D44" s="124">
        <v>5</v>
      </c>
    </row>
    <row r="45" spans="1:7" ht="18" x14ac:dyDescent="0.25">
      <c r="A45" s="65"/>
      <c r="B45" s="16"/>
      <c r="C45" s="68"/>
      <c r="D45" s="125"/>
    </row>
    <row r="46" spans="1:7" x14ac:dyDescent="0.25">
      <c r="A46" s="12"/>
      <c r="B46" s="15"/>
      <c r="C46" s="112"/>
      <c r="D46" s="112"/>
    </row>
    <row r="47" spans="1:7" ht="18" x14ac:dyDescent="0.25">
      <c r="A47" s="5">
        <v>12</v>
      </c>
      <c r="B47" s="32" t="s">
        <v>37</v>
      </c>
      <c r="C47" s="113">
        <v>1</v>
      </c>
      <c r="D47" s="113">
        <v>1</v>
      </c>
    </row>
    <row r="48" spans="1:7" x14ac:dyDescent="0.25">
      <c r="A48" s="13"/>
      <c r="B48" s="16"/>
      <c r="C48" s="75"/>
      <c r="D48" s="75"/>
    </row>
    <row r="49" spans="1:4" x14ac:dyDescent="0.25">
      <c r="A49" s="12"/>
      <c r="B49" s="15"/>
      <c r="C49" s="112"/>
      <c r="D49" s="112"/>
    </row>
    <row r="50" spans="1:4" ht="18" x14ac:dyDescent="0.25">
      <c r="A50" s="5">
        <v>13</v>
      </c>
      <c r="B50" s="32" t="s">
        <v>38</v>
      </c>
      <c r="C50" s="113">
        <v>1</v>
      </c>
      <c r="D50" s="113">
        <v>1</v>
      </c>
    </row>
    <row r="51" spans="1:4" x14ac:dyDescent="0.25">
      <c r="A51" s="13"/>
      <c r="B51" s="16"/>
      <c r="C51" s="75"/>
      <c r="D51" s="75"/>
    </row>
    <row r="52" spans="1:4" x14ac:dyDescent="0.25">
      <c r="A52" s="76"/>
      <c r="B52" s="15"/>
      <c r="C52" s="112"/>
      <c r="D52" s="73"/>
    </row>
    <row r="53" spans="1:4" ht="18.75" x14ac:dyDescent="0.3">
      <c r="A53" s="77">
        <v>14</v>
      </c>
      <c r="B53" s="32" t="s">
        <v>39</v>
      </c>
      <c r="C53" s="113">
        <v>1</v>
      </c>
      <c r="D53" s="130">
        <v>2</v>
      </c>
    </row>
    <row r="54" spans="1:4" x14ac:dyDescent="0.25">
      <c r="A54" s="78"/>
      <c r="B54" s="16"/>
      <c r="C54" s="75"/>
      <c r="D54" s="74"/>
    </row>
    <row r="55" spans="1:4" x14ac:dyDescent="0.25">
      <c r="A55" s="12"/>
      <c r="B55" s="15"/>
      <c r="C55" s="112"/>
      <c r="D55" s="117"/>
    </row>
    <row r="56" spans="1:4" ht="18" x14ac:dyDescent="0.25">
      <c r="A56" s="5">
        <v>15</v>
      </c>
      <c r="B56" s="32" t="s">
        <v>40</v>
      </c>
      <c r="C56" s="113">
        <v>1</v>
      </c>
      <c r="D56" s="118">
        <v>3</v>
      </c>
    </row>
    <row r="57" spans="1:4" x14ac:dyDescent="0.25">
      <c r="A57" s="13"/>
      <c r="B57" s="16"/>
      <c r="C57" s="75"/>
      <c r="D57" s="119"/>
    </row>
    <row r="58" spans="1:4" x14ac:dyDescent="0.25">
      <c r="A58" s="12"/>
      <c r="B58" s="15"/>
      <c r="C58" s="112"/>
      <c r="D58" s="112"/>
    </row>
    <row r="59" spans="1:4" ht="18" x14ac:dyDescent="0.25">
      <c r="A59" s="5">
        <v>16</v>
      </c>
      <c r="B59" s="32" t="s">
        <v>42</v>
      </c>
      <c r="C59" s="113">
        <v>1</v>
      </c>
      <c r="D59" s="113">
        <v>1</v>
      </c>
    </row>
    <row r="60" spans="1:4" x14ac:dyDescent="0.25">
      <c r="A60" s="13"/>
      <c r="B60" s="16"/>
      <c r="C60" s="75"/>
      <c r="D60" s="75"/>
    </row>
    <row r="61" spans="1:4" x14ac:dyDescent="0.25">
      <c r="A61" s="79"/>
      <c r="B61" s="15"/>
      <c r="C61" s="67"/>
      <c r="D61" s="126"/>
    </row>
    <row r="62" spans="1:4" ht="18" x14ac:dyDescent="0.25">
      <c r="A62" s="5">
        <v>17</v>
      </c>
      <c r="B62" s="32" t="s">
        <v>43</v>
      </c>
      <c r="C62" s="105">
        <v>3</v>
      </c>
      <c r="D62" s="127">
        <v>1</v>
      </c>
    </row>
    <row r="63" spans="1:4" ht="18" x14ac:dyDescent="0.25">
      <c r="A63" s="80"/>
      <c r="B63" s="16"/>
      <c r="C63" s="68"/>
      <c r="D63" s="128"/>
    </row>
    <row r="64" spans="1:4" ht="18" x14ac:dyDescent="0.25">
      <c r="A64" s="12"/>
      <c r="B64" s="15"/>
      <c r="C64" s="120"/>
      <c r="D64" s="129"/>
    </row>
    <row r="65" spans="1:4" ht="18" x14ac:dyDescent="0.25">
      <c r="A65" s="5">
        <v>18</v>
      </c>
      <c r="B65" s="32" t="s">
        <v>44</v>
      </c>
      <c r="C65" s="121">
        <v>4</v>
      </c>
      <c r="D65" s="113">
        <v>1</v>
      </c>
    </row>
    <row r="66" spans="1:4" x14ac:dyDescent="0.25">
      <c r="A66" s="13"/>
      <c r="B66" s="16"/>
      <c r="C66" s="122"/>
      <c r="D66" s="75"/>
    </row>
    <row r="67" spans="1:4" x14ac:dyDescent="0.25">
      <c r="A67" s="12"/>
      <c r="B67" s="15"/>
      <c r="C67" s="120"/>
      <c r="D67" s="112"/>
    </row>
    <row r="68" spans="1:4" ht="18" x14ac:dyDescent="0.25">
      <c r="A68" s="5">
        <v>19</v>
      </c>
      <c r="B68" s="32" t="s">
        <v>45</v>
      </c>
      <c r="C68" s="121">
        <v>4</v>
      </c>
      <c r="D68" s="113">
        <v>1</v>
      </c>
    </row>
    <row r="69" spans="1:4" x14ac:dyDescent="0.25">
      <c r="A69" s="13"/>
      <c r="B69" s="16"/>
      <c r="C69" s="122"/>
      <c r="D69" s="75"/>
    </row>
    <row r="70" spans="1:4" x14ac:dyDescent="0.25">
      <c r="A70" s="12"/>
      <c r="B70" s="15"/>
      <c r="C70" s="73"/>
      <c r="D70" s="69"/>
    </row>
    <row r="71" spans="1:4" ht="18" x14ac:dyDescent="0.25">
      <c r="A71" s="5">
        <v>20</v>
      </c>
      <c r="B71" s="32" t="s">
        <v>46</v>
      </c>
      <c r="C71" s="108">
        <v>2</v>
      </c>
      <c r="D71" s="107">
        <v>5</v>
      </c>
    </row>
    <row r="72" spans="1:4" x14ac:dyDescent="0.25">
      <c r="A72" s="13"/>
      <c r="B72" s="16"/>
      <c r="C72" s="74"/>
      <c r="D72" s="70"/>
    </row>
    <row r="73" spans="1:4" ht="18" x14ac:dyDescent="0.25">
      <c r="A73" s="133"/>
      <c r="B73" s="15"/>
      <c r="C73" s="143"/>
      <c r="D73" s="143"/>
    </row>
    <row r="74" spans="1:4" ht="18" x14ac:dyDescent="0.25">
      <c r="A74" s="134">
        <v>21</v>
      </c>
      <c r="B74" s="32" t="s">
        <v>67</v>
      </c>
      <c r="C74" s="121">
        <v>4</v>
      </c>
      <c r="D74" s="121">
        <v>4</v>
      </c>
    </row>
    <row r="75" spans="1:4" ht="18" x14ac:dyDescent="0.25">
      <c r="A75" s="135"/>
      <c r="B75" s="16"/>
      <c r="C75" s="144"/>
      <c r="D75" s="144"/>
    </row>
    <row r="76" spans="1:4" ht="18" x14ac:dyDescent="0.25">
      <c r="A76" s="136"/>
      <c r="B76" s="137"/>
      <c r="C76" s="145"/>
      <c r="D76" s="143"/>
    </row>
    <row r="77" spans="1:4" ht="18" x14ac:dyDescent="0.25">
      <c r="A77" s="134">
        <v>22</v>
      </c>
      <c r="B77" s="32" t="s">
        <v>75</v>
      </c>
      <c r="C77" s="105">
        <v>3</v>
      </c>
      <c r="D77" s="121">
        <v>4</v>
      </c>
    </row>
    <row r="78" spans="1:4" ht="18" x14ac:dyDescent="0.25">
      <c r="A78" s="135"/>
      <c r="B78" s="16"/>
      <c r="C78" s="146"/>
      <c r="D78" s="144"/>
    </row>
    <row r="79" spans="1:4" ht="18" x14ac:dyDescent="0.25">
      <c r="A79" s="138"/>
      <c r="B79" s="15"/>
      <c r="C79" s="129"/>
      <c r="D79" s="143"/>
    </row>
    <row r="80" spans="1:4" ht="18" x14ac:dyDescent="0.25">
      <c r="A80" s="5">
        <v>23</v>
      </c>
      <c r="B80" s="32" t="s">
        <v>68</v>
      </c>
      <c r="C80" s="113">
        <v>1</v>
      </c>
      <c r="D80" s="121">
        <v>4</v>
      </c>
    </row>
    <row r="81" spans="1:4" ht="18" x14ac:dyDescent="0.25">
      <c r="A81" s="65"/>
      <c r="B81" s="16"/>
      <c r="C81" s="147"/>
      <c r="D81" s="144"/>
    </row>
    <row r="82" spans="1:4" ht="18" x14ac:dyDescent="0.25">
      <c r="A82" s="64"/>
      <c r="B82" s="15"/>
      <c r="C82" s="148"/>
      <c r="D82" s="149"/>
    </row>
    <row r="83" spans="1:4" ht="18" x14ac:dyDescent="0.25">
      <c r="A83" s="5">
        <v>24</v>
      </c>
      <c r="B83" s="32" t="s">
        <v>69</v>
      </c>
      <c r="C83" s="105">
        <v>3</v>
      </c>
      <c r="D83" s="108">
        <v>2</v>
      </c>
    </row>
    <row r="84" spans="1:4" ht="18" x14ac:dyDescent="0.25">
      <c r="A84" s="65"/>
      <c r="B84" s="16"/>
      <c r="C84" s="146"/>
      <c r="D84" s="150"/>
    </row>
    <row r="85" spans="1:4" ht="18" x14ac:dyDescent="0.25">
      <c r="A85" s="64"/>
      <c r="B85" s="139"/>
      <c r="C85" s="151"/>
      <c r="D85" s="151"/>
    </row>
    <row r="86" spans="1:4" ht="18" x14ac:dyDescent="0.25">
      <c r="A86" s="5">
        <v>25</v>
      </c>
      <c r="B86" s="32" t="s">
        <v>70</v>
      </c>
      <c r="C86" s="110">
        <v>4</v>
      </c>
      <c r="D86" s="110">
        <v>4</v>
      </c>
    </row>
    <row r="87" spans="1:4" ht="18" x14ac:dyDescent="0.25">
      <c r="A87" s="65"/>
      <c r="B87" s="140"/>
      <c r="C87" s="152"/>
      <c r="D87" s="152"/>
    </row>
    <row r="88" spans="1:4" ht="18" x14ac:dyDescent="0.25">
      <c r="A88" s="64"/>
      <c r="B88" s="139"/>
      <c r="C88" s="153"/>
      <c r="D88" s="151"/>
    </row>
    <row r="89" spans="1:4" ht="18" x14ac:dyDescent="0.25">
      <c r="A89" s="5">
        <v>26</v>
      </c>
      <c r="B89" s="32" t="s">
        <v>71</v>
      </c>
      <c r="C89" s="115">
        <v>2</v>
      </c>
      <c r="D89" s="110">
        <v>4</v>
      </c>
    </row>
    <row r="90" spans="1:4" ht="18" x14ac:dyDescent="0.25">
      <c r="A90" s="65"/>
      <c r="B90" s="140"/>
      <c r="C90" s="154"/>
      <c r="D90" s="152"/>
    </row>
    <row r="91" spans="1:4" ht="18" x14ac:dyDescent="0.25">
      <c r="A91" s="64"/>
      <c r="B91" s="139"/>
      <c r="C91" s="155"/>
      <c r="D91" s="155"/>
    </row>
    <row r="92" spans="1:4" ht="18" x14ac:dyDescent="0.25">
      <c r="A92" s="5">
        <v>27</v>
      </c>
      <c r="B92" s="32" t="s">
        <v>72</v>
      </c>
      <c r="C92" s="127">
        <v>1</v>
      </c>
      <c r="D92" s="127">
        <v>1</v>
      </c>
    </row>
    <row r="93" spans="1:4" ht="18" x14ac:dyDescent="0.25">
      <c r="A93" s="65"/>
      <c r="B93" s="140"/>
      <c r="C93" s="128"/>
      <c r="D93" s="128"/>
    </row>
    <row r="94" spans="1:4" ht="18" x14ac:dyDescent="0.25">
      <c r="A94" s="64"/>
      <c r="B94" s="139"/>
      <c r="C94" s="156"/>
      <c r="D94" s="153"/>
    </row>
    <row r="95" spans="1:4" ht="18" x14ac:dyDescent="0.25">
      <c r="A95" s="5">
        <v>28</v>
      </c>
      <c r="B95" s="32" t="s">
        <v>73</v>
      </c>
      <c r="C95" s="118">
        <v>3</v>
      </c>
      <c r="D95" s="115">
        <v>2</v>
      </c>
    </row>
    <row r="96" spans="1:4" ht="18" x14ac:dyDescent="0.25">
      <c r="A96" s="65"/>
      <c r="B96" s="140"/>
      <c r="C96" s="141"/>
      <c r="D96" s="142"/>
    </row>
    <row r="97" spans="1:4" ht="18" x14ac:dyDescent="0.25">
      <c r="A97" s="64"/>
      <c r="B97" s="15"/>
      <c r="C97" s="156"/>
      <c r="D97" s="155"/>
    </row>
    <row r="98" spans="1:4" ht="18" x14ac:dyDescent="0.25">
      <c r="A98" s="5">
        <v>29</v>
      </c>
      <c r="B98" s="32" t="s">
        <v>74</v>
      </c>
      <c r="C98" s="118">
        <v>3</v>
      </c>
      <c r="D98" s="127">
        <v>1</v>
      </c>
    </row>
    <row r="99" spans="1:4" ht="18" x14ac:dyDescent="0.25">
      <c r="A99" s="65"/>
      <c r="B99" s="16"/>
      <c r="C99" s="157"/>
      <c r="D99" s="128"/>
    </row>
    <row r="100" spans="1:4" ht="18" x14ac:dyDescent="0.25">
      <c r="A100" s="64"/>
      <c r="B100" s="15"/>
      <c r="C100" s="158"/>
      <c r="D100" s="156"/>
    </row>
    <row r="101" spans="1:4" ht="18" x14ac:dyDescent="0.25">
      <c r="A101" s="5">
        <v>30</v>
      </c>
      <c r="B101" s="32" t="s">
        <v>76</v>
      </c>
      <c r="C101" s="159">
        <v>2</v>
      </c>
      <c r="D101" s="118">
        <v>3</v>
      </c>
    </row>
    <row r="102" spans="1:4" ht="18" x14ac:dyDescent="0.25">
      <c r="A102" s="65"/>
      <c r="B102" s="16"/>
      <c r="C102" s="160"/>
      <c r="D102" s="157"/>
    </row>
    <row r="103" spans="1:4" ht="18" x14ac:dyDescent="0.25">
      <c r="A103" s="12"/>
      <c r="B103" s="15"/>
      <c r="C103" s="129"/>
      <c r="D103" s="155"/>
    </row>
    <row r="104" spans="1:4" ht="18" x14ac:dyDescent="0.25">
      <c r="A104" s="161">
        <v>31</v>
      </c>
      <c r="B104" s="32" t="s">
        <v>77</v>
      </c>
      <c r="C104" s="113">
        <v>1</v>
      </c>
      <c r="D104" s="127">
        <v>1</v>
      </c>
    </row>
    <row r="105" spans="1:4" ht="18" x14ac:dyDescent="0.25">
      <c r="A105" s="13"/>
      <c r="B105" s="16"/>
      <c r="C105" s="147"/>
      <c r="D105" s="128"/>
    </row>
  </sheetData>
  <mergeCells count="7">
    <mergeCell ref="F26:G26"/>
    <mergeCell ref="F1:G1"/>
    <mergeCell ref="A1:D1"/>
    <mergeCell ref="A2:A5"/>
    <mergeCell ref="A7:A12"/>
    <mergeCell ref="B2:B5"/>
    <mergeCell ref="B7:B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FA96-B069-438D-B7DA-5401D7787631}">
  <dimension ref="B3:AB16"/>
  <sheetViews>
    <sheetView topLeftCell="G4" workbookViewId="0">
      <selection activeCell="O12" sqref="O12:Q12"/>
    </sheetView>
  </sheetViews>
  <sheetFormatPr defaultRowHeight="15" x14ac:dyDescent="0.25"/>
  <cols>
    <col min="1" max="1" width="9.140625" customWidth="1"/>
    <col min="3" max="6" width="9.140625" customWidth="1"/>
    <col min="14" max="14" width="16.5703125" customWidth="1"/>
    <col min="17" max="17" width="13.140625" customWidth="1"/>
    <col min="20" max="20" width="12.42578125" customWidth="1"/>
    <col min="22" max="22" width="14.5703125" customWidth="1"/>
    <col min="25" max="25" width="10" customWidth="1"/>
    <col min="26" max="26" width="12" customWidth="1"/>
    <col min="28" max="28" width="22.42578125" customWidth="1"/>
    <col min="30" max="30" width="9.140625" customWidth="1"/>
  </cols>
  <sheetData>
    <row r="3" spans="2:28" ht="23.25" x14ac:dyDescent="0.35">
      <c r="B3" s="45"/>
      <c r="C3" s="45"/>
      <c r="D3" s="45"/>
      <c r="G3" s="66"/>
      <c r="AB3" s="48" t="s">
        <v>20</v>
      </c>
    </row>
    <row r="4" spans="2:28" ht="20.25" x14ac:dyDescent="0.3">
      <c r="G4" s="66"/>
      <c r="AB4" s="49" t="s">
        <v>21</v>
      </c>
    </row>
    <row r="5" spans="2:28" ht="20.25" x14ac:dyDescent="0.3">
      <c r="G5" s="66"/>
      <c r="AB5" s="49" t="s">
        <v>22</v>
      </c>
    </row>
    <row r="6" spans="2:28" ht="20.25" x14ac:dyDescent="0.3">
      <c r="G6" s="66"/>
      <c r="AB6" s="49" t="s">
        <v>23</v>
      </c>
    </row>
    <row r="7" spans="2:28" ht="20.25" x14ac:dyDescent="0.3">
      <c r="G7" s="66"/>
      <c r="AB7" s="49" t="s">
        <v>24</v>
      </c>
    </row>
    <row r="8" spans="2:28" ht="23.25" customHeight="1" x14ac:dyDescent="0.35">
      <c r="G8" s="66"/>
      <c r="H8" s="182" t="s">
        <v>3</v>
      </c>
      <c r="I8" s="182"/>
      <c r="J8" s="182"/>
      <c r="K8" s="182"/>
      <c r="L8" s="46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2:28" ht="39.75" customHeight="1" x14ac:dyDescent="0.3">
      <c r="G9" s="66"/>
      <c r="H9" s="183" t="s">
        <v>19</v>
      </c>
      <c r="I9" s="183"/>
      <c r="J9" s="183"/>
      <c r="K9" s="183"/>
      <c r="L9" s="170"/>
      <c r="M9" s="171"/>
      <c r="N9" s="172"/>
      <c r="O9" s="170"/>
      <c r="P9" s="171"/>
      <c r="Q9" s="172"/>
      <c r="R9" s="185"/>
      <c r="S9" s="186"/>
      <c r="T9" s="187"/>
      <c r="U9" s="188"/>
      <c r="V9" s="189"/>
      <c r="W9" s="190"/>
      <c r="X9" s="188"/>
      <c r="Y9" s="189"/>
      <c r="Z9" s="190"/>
    </row>
    <row r="10" spans="2:28" ht="36.75" customHeight="1" x14ac:dyDescent="0.3">
      <c r="G10" s="66"/>
      <c r="H10" s="184" t="s">
        <v>18</v>
      </c>
      <c r="I10" s="184"/>
      <c r="J10" s="184"/>
      <c r="K10" s="184"/>
      <c r="L10" s="173"/>
      <c r="M10" s="174"/>
      <c r="N10" s="175"/>
      <c r="O10" s="173"/>
      <c r="P10" s="174"/>
      <c r="Q10" s="175"/>
      <c r="R10" s="170"/>
      <c r="S10" s="171"/>
      <c r="T10" s="172"/>
      <c r="U10" s="185"/>
      <c r="V10" s="186"/>
      <c r="W10" s="187"/>
      <c r="X10" s="188"/>
      <c r="Y10" s="189"/>
      <c r="Z10" s="190"/>
    </row>
    <row r="11" spans="2:28" ht="34.5" customHeight="1" x14ac:dyDescent="0.3">
      <c r="G11" s="66"/>
      <c r="H11" s="184" t="s">
        <v>25</v>
      </c>
      <c r="I11" s="184"/>
      <c r="J11" s="184"/>
      <c r="K11" s="184"/>
      <c r="L11" s="176"/>
      <c r="M11" s="177"/>
      <c r="N11" s="178"/>
      <c r="O11" s="176"/>
      <c r="P11" s="177"/>
      <c r="Q11" s="178"/>
      <c r="R11" s="173"/>
      <c r="S11" s="174"/>
      <c r="T11" s="175"/>
      <c r="U11" s="170"/>
      <c r="V11" s="171"/>
      <c r="W11" s="172"/>
      <c r="X11" s="185"/>
      <c r="Y11" s="186"/>
      <c r="Z11" s="187"/>
    </row>
    <row r="12" spans="2:28" ht="36.75" customHeight="1" x14ac:dyDescent="0.3">
      <c r="G12" s="66"/>
      <c r="H12" s="184" t="s">
        <v>16</v>
      </c>
      <c r="I12" s="184"/>
      <c r="J12" s="184"/>
      <c r="K12" s="184"/>
      <c r="L12" s="179"/>
      <c r="M12" s="180"/>
      <c r="N12" s="181"/>
      <c r="O12" s="176"/>
      <c r="P12" s="177"/>
      <c r="Q12" s="178"/>
      <c r="R12" s="173"/>
      <c r="S12" s="174"/>
      <c r="T12" s="175"/>
      <c r="U12" s="173"/>
      <c r="V12" s="174"/>
      <c r="W12" s="175"/>
      <c r="X12" s="191"/>
      <c r="Y12" s="192"/>
      <c r="Z12" s="193"/>
    </row>
    <row r="13" spans="2:28" ht="34.5" customHeight="1" x14ac:dyDescent="0.3">
      <c r="G13" s="66"/>
      <c r="H13" s="184" t="s">
        <v>9</v>
      </c>
      <c r="I13" s="184"/>
      <c r="J13" s="184"/>
      <c r="K13" s="184"/>
      <c r="L13" s="179"/>
      <c r="M13" s="180"/>
      <c r="N13" s="181"/>
      <c r="O13" s="179"/>
      <c r="P13" s="180"/>
      <c r="Q13" s="181"/>
      <c r="R13" s="198"/>
      <c r="S13" s="199"/>
      <c r="T13" s="200"/>
      <c r="U13" s="176"/>
      <c r="V13" s="177"/>
      <c r="W13" s="178"/>
      <c r="X13" s="170"/>
      <c r="Y13" s="171"/>
      <c r="Z13" s="172"/>
    </row>
    <row r="14" spans="2:28" ht="37.5" customHeight="1" x14ac:dyDescent="0.3">
      <c r="H14" s="201"/>
      <c r="I14" s="201"/>
      <c r="J14" s="201"/>
      <c r="K14" s="201"/>
      <c r="L14" s="184" t="s">
        <v>9</v>
      </c>
      <c r="M14" s="184"/>
      <c r="N14" s="184"/>
      <c r="O14" s="184" t="s">
        <v>16</v>
      </c>
      <c r="P14" s="184"/>
      <c r="Q14" s="184"/>
      <c r="R14" s="184" t="s">
        <v>25</v>
      </c>
      <c r="S14" s="184"/>
      <c r="T14" s="184"/>
      <c r="U14" s="184" t="s">
        <v>18</v>
      </c>
      <c r="V14" s="184"/>
      <c r="W14" s="184"/>
      <c r="X14" s="184" t="s">
        <v>19</v>
      </c>
      <c r="Y14" s="184"/>
      <c r="Z14" s="184"/>
    </row>
    <row r="15" spans="2:28" ht="12" customHeight="1" x14ac:dyDescent="0.25"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4" t="s">
        <v>26</v>
      </c>
      <c r="Y15" s="194"/>
      <c r="Z15" s="194"/>
    </row>
    <row r="16" spans="2:28" ht="11.25" customHeight="1" x14ac:dyDescent="0.25"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5"/>
      <c r="Y16" s="195"/>
      <c r="Z16" s="195"/>
    </row>
  </sheetData>
  <mergeCells count="39">
    <mergeCell ref="O12:Q12"/>
    <mergeCell ref="O14:Q14"/>
    <mergeCell ref="R14:T14"/>
    <mergeCell ref="X15:Z16"/>
    <mergeCell ref="H15:W16"/>
    <mergeCell ref="R12:T12"/>
    <mergeCell ref="R13:T13"/>
    <mergeCell ref="U14:W14"/>
    <mergeCell ref="X14:Z14"/>
    <mergeCell ref="H13:K13"/>
    <mergeCell ref="H14:K14"/>
    <mergeCell ref="L14:N14"/>
    <mergeCell ref="O13:Q13"/>
    <mergeCell ref="U9:W9"/>
    <mergeCell ref="U10:W10"/>
    <mergeCell ref="U11:W11"/>
    <mergeCell ref="U12:W12"/>
    <mergeCell ref="U13:W13"/>
    <mergeCell ref="X9:Z9"/>
    <mergeCell ref="X10:Z10"/>
    <mergeCell ref="X11:Z11"/>
    <mergeCell ref="X12:Z12"/>
    <mergeCell ref="X13:Z13"/>
    <mergeCell ref="O9:Q9"/>
    <mergeCell ref="O10:Q10"/>
    <mergeCell ref="R9:T9"/>
    <mergeCell ref="R10:T10"/>
    <mergeCell ref="R11:T11"/>
    <mergeCell ref="O11:Q11"/>
    <mergeCell ref="H8:K8"/>
    <mergeCell ref="H9:K9"/>
    <mergeCell ref="H10:K10"/>
    <mergeCell ref="H11:K11"/>
    <mergeCell ref="H12:K12"/>
    <mergeCell ref="L9:N9"/>
    <mergeCell ref="L10:N10"/>
    <mergeCell ref="L11:N11"/>
    <mergeCell ref="L12:N12"/>
    <mergeCell ref="L13:N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E3FA-863F-49A0-AB35-D92BDBC2E4D4}">
  <dimension ref="A2:I7"/>
  <sheetViews>
    <sheetView tabSelected="1" workbookViewId="0">
      <selection activeCell="D15" sqref="D15"/>
    </sheetView>
  </sheetViews>
  <sheetFormatPr defaultRowHeight="15" x14ac:dyDescent="0.25"/>
  <cols>
    <col min="3" max="3" width="21.140625" customWidth="1"/>
  </cols>
  <sheetData>
    <row r="2" spans="1:9" ht="20.25" x14ac:dyDescent="0.3">
      <c r="A2" s="202" t="s">
        <v>1</v>
      </c>
      <c r="B2" s="202"/>
      <c r="C2" s="202"/>
      <c r="D2" s="131" t="s">
        <v>62</v>
      </c>
      <c r="E2" s="131" t="s">
        <v>63</v>
      </c>
      <c r="F2" s="131" t="s">
        <v>64</v>
      </c>
      <c r="G2" s="202" t="s">
        <v>65</v>
      </c>
      <c r="H2" s="202"/>
      <c r="I2" s="202"/>
    </row>
    <row r="3" spans="1:9" ht="15.75" x14ac:dyDescent="0.25">
      <c r="A3" s="201" t="s">
        <v>30</v>
      </c>
      <c r="B3" s="201"/>
      <c r="C3" s="201"/>
      <c r="D3" s="132">
        <v>1</v>
      </c>
      <c r="E3" s="132">
        <v>2</v>
      </c>
      <c r="F3" s="132">
        <v>3</v>
      </c>
      <c r="G3" s="201">
        <f>D3*E3*F3</f>
        <v>6</v>
      </c>
      <c r="H3" s="201"/>
      <c r="I3" s="201"/>
    </row>
    <row r="4" spans="1:9" ht="15.75" x14ac:dyDescent="0.25">
      <c r="A4" s="201" t="s">
        <v>32</v>
      </c>
      <c r="B4" s="201"/>
      <c r="C4" s="201"/>
      <c r="D4" s="132">
        <v>2</v>
      </c>
      <c r="E4" s="132">
        <v>3</v>
      </c>
      <c r="F4" s="132">
        <v>5</v>
      </c>
      <c r="G4" s="201">
        <f>D4*E4*F4</f>
        <v>30</v>
      </c>
      <c r="H4" s="201"/>
      <c r="I4" s="201"/>
    </row>
    <row r="5" spans="1:9" ht="15.75" x14ac:dyDescent="0.25">
      <c r="A5" s="201" t="s">
        <v>34</v>
      </c>
      <c r="B5" s="201"/>
      <c r="C5" s="201"/>
      <c r="D5" s="132">
        <v>2</v>
      </c>
      <c r="E5" s="132">
        <v>3</v>
      </c>
      <c r="F5" s="132">
        <v>4</v>
      </c>
      <c r="G5" s="201">
        <f>D5*E5*F5</f>
        <v>24</v>
      </c>
      <c r="H5" s="201"/>
      <c r="I5" s="201"/>
    </row>
    <row r="6" spans="1:9" ht="15.75" x14ac:dyDescent="0.25">
      <c r="A6" s="201" t="s">
        <v>39</v>
      </c>
      <c r="B6" s="201"/>
      <c r="C6" s="201"/>
      <c r="D6" s="132">
        <v>2</v>
      </c>
      <c r="E6" s="132">
        <v>2</v>
      </c>
      <c r="F6" s="132">
        <v>3</v>
      </c>
      <c r="G6" s="201">
        <f>D6*E6*F6</f>
        <v>12</v>
      </c>
      <c r="H6" s="201"/>
      <c r="I6" s="201"/>
    </row>
    <row r="7" spans="1:9" x14ac:dyDescent="0.25">
      <c r="A7" s="45"/>
      <c r="B7" s="45"/>
      <c r="C7" s="45"/>
    </row>
  </sheetData>
  <mergeCells count="10">
    <mergeCell ref="G3:I3"/>
    <mergeCell ref="G4:I4"/>
    <mergeCell ref="G5:I5"/>
    <mergeCell ref="G6:I6"/>
    <mergeCell ref="A2:C2"/>
    <mergeCell ref="G2:I2"/>
    <mergeCell ref="A3:C3"/>
    <mergeCell ref="A4:C4"/>
    <mergeCell ref="A5:C5"/>
    <mergeCell ref="A6:C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DE RISCO</vt:lpstr>
      <vt:lpstr>MATRIZ DE PRIORIZAÇÃO</vt:lpstr>
      <vt:lpstr>GUT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Rickson</dc:creator>
  <cp:lastModifiedBy>Joey Rickson</cp:lastModifiedBy>
  <dcterms:created xsi:type="dcterms:W3CDTF">2021-03-23T15:16:55Z</dcterms:created>
  <dcterms:modified xsi:type="dcterms:W3CDTF">2021-05-27T11:50:22Z</dcterms:modified>
</cp:coreProperties>
</file>